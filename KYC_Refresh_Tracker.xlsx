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uyna\Downloads\"/>
    </mc:Choice>
  </mc:AlternateContent>
  <xr:revisionPtr revIDLastSave="0" documentId="13_ncr:1_{BB619B78-9C85-43C8-8192-B31D7BE48B41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Client_Master" sheetId="1" r:id="rId1"/>
    <sheet name="Change_Log" sheetId="8" r:id="rId2"/>
    <sheet name="Risk_Scoring" sheetId="2" r:id="rId3"/>
    <sheet name="Refresh_Queue" sheetId="3" r:id="rId4"/>
    <sheet name="Document_Tracker" sheetId="4" r:id="rId5"/>
    <sheet name="Escalation_Log" sheetId="5" r:id="rId6"/>
    <sheet name="QC_Review" sheetId="6" r:id="rId7"/>
  </sheets>
  <definedNames>
    <definedName name="_xlnm._FilterDatabase" localSheetId="0" hidden="1">Client_Master!$E$1:$E$201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C3" i="2"/>
  <c r="C4" i="2"/>
  <c r="C5" i="2"/>
  <c r="C6" i="2"/>
  <c r="C7" i="2"/>
  <c r="C8" i="2"/>
  <c r="C9" i="2"/>
  <c r="C10" i="2"/>
  <c r="C11" i="2"/>
  <c r="C2" i="2"/>
  <c r="A11" i="2"/>
  <c r="A10" i="2"/>
  <c r="A9" i="2"/>
  <c r="A8" i="2"/>
  <c r="A7" i="2"/>
  <c r="A6" i="2"/>
  <c r="A5" i="2"/>
  <c r="A4" i="2"/>
  <c r="A3" i="2"/>
  <c r="B3" i="2"/>
  <c r="B4" i="2"/>
  <c r="B5" i="2"/>
  <c r="B6" i="2"/>
  <c r="B7" i="2"/>
  <c r="B8" i="2"/>
  <c r="B9" i="2"/>
  <c r="B10" i="2"/>
  <c r="B11" i="2"/>
  <c r="B2" i="2"/>
  <c r="A2" i="2"/>
  <c r="N11" i="1"/>
  <c r="N10" i="1"/>
  <c r="N9" i="1"/>
  <c r="N8" i="1"/>
  <c r="N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KYC Tracker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Mã khách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Tên pháp lý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Corporation / Investment Fund / Bank / Pension Fund / Trust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Nước đăng ký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Canada / US / UK / Europe / APAC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Equities / Fixed Income / FX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Simple / Complex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Y / N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Y / N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None / Minor / Material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Clear / Potential Match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Ngày review gần nhất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KYC Tracker</author>
  </authors>
  <commentList>
    <comment ref="A1" authorId="0" shapeId="0" xr:uid="{BC7C2BEB-A462-4F02-B359-A40B16CC3917}">
      <text>
        <r>
          <rPr>
            <sz val="11"/>
            <color theme="1"/>
            <rFont val="Calibri"/>
            <family val="2"/>
            <scheme val="minor"/>
          </rPr>
          <t>Mã khách</t>
        </r>
      </text>
    </comment>
    <comment ref="B1" authorId="0" shapeId="0" xr:uid="{91ED7A04-A389-415D-B0E3-D0CAE6237350}">
      <text>
        <r>
          <rPr>
            <sz val="11"/>
            <color theme="1"/>
            <rFont val="Calibri"/>
            <family val="2"/>
            <scheme val="minor"/>
          </rPr>
          <t>Corporation / Investment Fund / Bank / Pension Fund / Trust</t>
        </r>
      </text>
    </comment>
    <comment ref="C1" authorId="0" shapeId="0" xr:uid="{4449A259-7220-4553-AB07-6D764435D306}">
      <text>
        <r>
          <rPr>
            <sz val="11"/>
            <color theme="1"/>
            <rFont val="Calibri"/>
            <family val="2"/>
            <scheme val="minor"/>
          </rPr>
          <t>Canada / US / UK / Europe / APAC</t>
        </r>
      </text>
    </comment>
    <comment ref="D1" authorId="0" shapeId="0" xr:uid="{670901E6-C4AE-47D3-BD35-8B0E096A3E91}">
      <text>
        <r>
          <rPr>
            <sz val="11"/>
            <color theme="1"/>
            <rFont val="Calibri"/>
            <family val="2"/>
            <scheme val="minor"/>
          </rPr>
          <t>Canada / US / UK / Europe / APAC</t>
        </r>
      </text>
    </comment>
    <comment ref="E1" authorId="0" shapeId="0" xr:uid="{07AE0AEB-B828-4B13-9797-1AD1BAF863DF}">
      <text>
        <r>
          <rPr>
            <sz val="11"/>
            <color theme="1"/>
            <rFont val="Calibri"/>
            <family val="2"/>
            <scheme val="minor"/>
          </rPr>
          <t>Ngày review gần nhất</t>
        </r>
      </text>
    </comment>
    <comment ref="F1" authorId="0" shapeId="0" xr:uid="{7C2C3578-ECAF-40A4-8059-43F4D8CA64EC}">
      <text>
        <r>
          <rPr>
            <sz val="11"/>
            <color theme="1"/>
            <rFont val="Calibri"/>
            <family val="2"/>
            <scheme val="minor"/>
          </rPr>
          <t>Ngày review gần nhất</t>
        </r>
      </text>
    </comment>
  </commentList>
</comments>
</file>

<file path=xl/sharedStrings.xml><?xml version="1.0" encoding="utf-8"?>
<sst xmlns="http://schemas.openxmlformats.org/spreadsheetml/2006/main" count="2273" uniqueCount="478">
  <si>
    <t>Client_ID</t>
  </si>
  <si>
    <t>Legal_Name</t>
  </si>
  <si>
    <t>Entity_Type</t>
  </si>
  <si>
    <t>Country</t>
  </si>
  <si>
    <t>Region</t>
  </si>
  <si>
    <t>Business_Unit</t>
  </si>
  <si>
    <t>Ownership_Structure</t>
  </si>
  <si>
    <t>UBO_Identified</t>
  </si>
  <si>
    <t>PEP_Connection</t>
  </si>
  <si>
    <t>Adverse_Media</t>
  </si>
  <si>
    <t>Sanctions_Screening</t>
  </si>
  <si>
    <t>Last_Review_Date</t>
  </si>
  <si>
    <t>Legend</t>
  </si>
  <si>
    <t>CL0001</t>
  </si>
  <si>
    <t>Investment Fund</t>
  </si>
  <si>
    <t>Canada</t>
  </si>
  <si>
    <t>Equities</t>
  </si>
  <si>
    <t>Complex</t>
  </si>
  <si>
    <t>Y</t>
  </si>
  <si>
    <t>N</t>
  </si>
  <si>
    <t>None</t>
  </si>
  <si>
    <t>Clear</t>
  </si>
  <si>
    <t>Yellow row 2 = example only, delete it in Step 2.</t>
  </si>
  <si>
    <t>Columns C, E–K have dropdowns.</t>
  </si>
  <si>
    <t>Hover a header to see what it means.</t>
  </si>
  <si>
    <t>Built in Step 4</t>
  </si>
  <si>
    <t>Built in Step 5</t>
  </si>
  <si>
    <t>Built in Step 6</t>
  </si>
  <si>
    <t>Built in Step 7</t>
  </si>
  <si>
    <t>Maple Opportunities Fund LP</t>
  </si>
  <si>
    <t>CL0002</t>
  </si>
  <si>
    <t>Granite Teachers Pension Plan</t>
  </si>
  <si>
    <t>Pension Fund</t>
  </si>
  <si>
    <t>United States</t>
  </si>
  <si>
    <t>US</t>
  </si>
  <si>
    <t>Simple</t>
  </si>
  <si>
    <t>CL0003</t>
  </si>
  <si>
    <t>Redstone Opportunities Fund Ltd</t>
  </si>
  <si>
    <t>Japan</t>
  </si>
  <si>
    <t>Europe</t>
  </si>
  <si>
    <t>CL0004</t>
  </si>
  <si>
    <t>Westmark Multi-Strategy Fund Ltd</t>
  </si>
  <si>
    <t>CL0005</t>
  </si>
  <si>
    <t>Ironwood Equity Income Fund Ltd</t>
  </si>
  <si>
    <t>FX</t>
  </si>
  <si>
    <t>CL0006</t>
  </si>
  <si>
    <t>Clearview Securities Inc.</t>
  </si>
  <si>
    <t>Bank</t>
  </si>
  <si>
    <t>CL0007</t>
  </si>
  <si>
    <t>Kingsway Partners LLC</t>
  </si>
  <si>
    <t>Corporation</t>
  </si>
  <si>
    <t>Fixed Income</t>
  </si>
  <si>
    <t>CL0008</t>
  </si>
  <si>
    <t>Cedar Credit Fund LP</t>
  </si>
  <si>
    <t>British Virgin Islands</t>
  </si>
  <si>
    <t>Offshore</t>
  </si>
  <si>
    <t>CL0009</t>
  </si>
  <si>
    <t>Meridian Workers Pension Plan</t>
  </si>
  <si>
    <t>Australia</t>
  </si>
  <si>
    <t>APAC</t>
  </si>
  <si>
    <t>CL0010</t>
  </si>
  <si>
    <t>Aurora Municipal Pension Plan</t>
  </si>
  <si>
    <t>CL0011</t>
  </si>
  <si>
    <t>Pinecrest Charitable Trust</t>
  </si>
  <si>
    <t>Trust</t>
  </si>
  <si>
    <t>Bermuda</t>
  </si>
  <si>
    <t>CL0012</t>
  </si>
  <si>
    <t>Clearview Asset Management LLC</t>
  </si>
  <si>
    <t>CL0013</t>
  </si>
  <si>
    <t>Westmark Opportunities Fund LP</t>
  </si>
  <si>
    <t>CL0014</t>
  </si>
  <si>
    <t>Aurora Employees Pension Plan</t>
  </si>
  <si>
    <t>Luxembourg</t>
  </si>
  <si>
    <t>CL0015</t>
  </si>
  <si>
    <t>Aurora Legacy Trust</t>
  </si>
  <si>
    <t>Cayman Islands</t>
  </si>
  <si>
    <t>CL0016</t>
  </si>
  <si>
    <t>Atlas Global Macro Fund Ltd</t>
  </si>
  <si>
    <t>Ireland</t>
  </si>
  <si>
    <t>CL0017</t>
  </si>
  <si>
    <t>Silverline Family Trust</t>
  </si>
  <si>
    <t>CL0018</t>
  </si>
  <si>
    <t>Harbour Trust Company LLC</t>
  </si>
  <si>
    <t>CL0019</t>
  </si>
  <si>
    <t>Brightwater Opportunities Fund LP</t>
  </si>
  <si>
    <t>Minor</t>
  </si>
  <si>
    <t>CL0020</t>
  </si>
  <si>
    <t>North Opportunities Fund LP</t>
  </si>
  <si>
    <t>CL0021</t>
  </si>
  <si>
    <t>Ironwood Securities Inc.</t>
  </si>
  <si>
    <t>CL0022</t>
  </si>
  <si>
    <t>Eastbay Multi-Strategy Fund LP</t>
  </si>
  <si>
    <t>CL0023</t>
  </si>
  <si>
    <t>Fairhaven Energy B.V.</t>
  </si>
  <si>
    <t>Netherlands</t>
  </si>
  <si>
    <t>CL0024</t>
  </si>
  <si>
    <t>North Opportunities Fund Ltd</t>
  </si>
  <si>
    <t>CL0025</t>
  </si>
  <si>
    <t>Meridian Trust Company LLC</t>
  </si>
  <si>
    <t>CL0026</t>
  </si>
  <si>
    <t>Bluewater Holdings Inc.</t>
  </si>
  <si>
    <t>CL0027</t>
  </si>
  <si>
    <t>Westmark Global Macro Fund LP</t>
  </si>
  <si>
    <t>CL0028</t>
  </si>
  <si>
    <t>North Equity Income Fund Ltd</t>
  </si>
  <si>
    <t>CL0029</t>
  </si>
  <si>
    <t>Crescent Asset Management Inc.</t>
  </si>
  <si>
    <t>CL0030</t>
  </si>
  <si>
    <t>Harbour Securities LLC</t>
  </si>
  <si>
    <t>CL0031</t>
  </si>
  <si>
    <t>Granite Investments Inc.</t>
  </si>
  <si>
    <t>CL0032</t>
  </si>
  <si>
    <t>Meridian Family Trust</t>
  </si>
  <si>
    <t>CL0033</t>
  </si>
  <si>
    <t>Meridian Employees Pension Plan</t>
  </si>
  <si>
    <t>CL0034</t>
  </si>
  <si>
    <t>Redstone Securities Ltd</t>
  </si>
  <si>
    <t>United Kingdom</t>
  </si>
  <si>
    <t>UK</t>
  </si>
  <si>
    <t>CL0035</t>
  </si>
  <si>
    <t>Summit Family Trust</t>
  </si>
  <si>
    <t>CL0036</t>
  </si>
  <si>
    <t>Kingsway Credit Fund LP</t>
  </si>
  <si>
    <t>CL0037</t>
  </si>
  <si>
    <t>Bluewater Heritage Trust</t>
  </si>
  <si>
    <t>CL0038</t>
  </si>
  <si>
    <t>Harbour Asset Management GmbH</t>
  </si>
  <si>
    <t>Germany</t>
  </si>
  <si>
    <t>CL0039</t>
  </si>
  <si>
    <t>Kingsway Trust Company Ltd</t>
  </si>
  <si>
    <t>Hong Kong</t>
  </si>
  <si>
    <t>CL0040</t>
  </si>
  <si>
    <t>Eastbay Bank Pty Ltd</t>
  </si>
  <si>
    <t>Potential Match</t>
  </si>
  <si>
    <t>CL0041</t>
  </si>
  <si>
    <t>Harbour Opportunities Fund LP</t>
  </si>
  <si>
    <t>Switzerland</t>
  </si>
  <si>
    <t>CL0042</t>
  </si>
  <si>
    <t>North Equity Income Fund LP</t>
  </si>
  <si>
    <t>CL0043</t>
  </si>
  <si>
    <t>Brightwater Industries Ltd</t>
  </si>
  <si>
    <t>CL0044</t>
  </si>
  <si>
    <t>Cedar Opportunities Fund LP</t>
  </si>
  <si>
    <t>CL0045</t>
  </si>
  <si>
    <t>Fairhaven Securities Inc.</t>
  </si>
  <si>
    <t>CL0046</t>
  </si>
  <si>
    <t>North Legacy Trust</t>
  </si>
  <si>
    <t>CL0047</t>
  </si>
  <si>
    <t>Eastbay Partners Inc.</t>
  </si>
  <si>
    <t>CL0048</t>
  </si>
  <si>
    <t>Aurora Opportunities Fund Ltd</t>
  </si>
  <si>
    <t>CL0049</t>
  </si>
  <si>
    <t>Kingsway Employees Pension Plan</t>
  </si>
  <si>
    <t>CL0050</t>
  </si>
  <si>
    <t>Fairhaven Credit Fund LP</t>
  </si>
  <si>
    <t>CL0051</t>
  </si>
  <si>
    <t>Redstone Multi-Strategy Fund LP</t>
  </si>
  <si>
    <t>CL0052</t>
  </si>
  <si>
    <t>Lakeshore Resources LLC</t>
  </si>
  <si>
    <t>CL0053</t>
  </si>
  <si>
    <t>Stonebridge Asset Management LLC</t>
  </si>
  <si>
    <t>CL0054</t>
  </si>
  <si>
    <t>Aurora Resources LLC</t>
  </si>
  <si>
    <t>CL0055</t>
  </si>
  <si>
    <t>Ironwood Opportunities Fund Ltd</t>
  </si>
  <si>
    <t>CL0056</t>
  </si>
  <si>
    <t>Stonebridge Equity Income Fund Ltd</t>
  </si>
  <si>
    <t>CL0057</t>
  </si>
  <si>
    <t>Highgate Heritage Trust</t>
  </si>
  <si>
    <t>Material</t>
  </si>
  <si>
    <t>CL0058</t>
  </si>
  <si>
    <t>Crescent Capital Ltd</t>
  </si>
  <si>
    <t>CL0059</t>
  </si>
  <si>
    <t>Granite Bank Inc.</t>
  </si>
  <si>
    <t>CL0060</t>
  </si>
  <si>
    <t>Ironwood Securities LLC</t>
  </si>
  <si>
    <t>CL0061</t>
  </si>
  <si>
    <t>Lakeshore Holdings Inc.</t>
  </si>
  <si>
    <t>CL0062</t>
  </si>
  <si>
    <t>Bluewater Advisors LLC</t>
  </si>
  <si>
    <t>CL0063</t>
  </si>
  <si>
    <t>Oakridge Investments Inc.</t>
  </si>
  <si>
    <t>CL0064</t>
  </si>
  <si>
    <t>Summit Charitable Trust</t>
  </si>
  <si>
    <t>CL0065</t>
  </si>
  <si>
    <t>Maple Legacy Trust</t>
  </si>
  <si>
    <t>CL0066</t>
  </si>
  <si>
    <t>Granite Heritage Trust</t>
  </si>
  <si>
    <t>CL0067</t>
  </si>
  <si>
    <t>Silverline Advisors LLC</t>
  </si>
  <si>
    <t>CL0068</t>
  </si>
  <si>
    <t>Brightwater Holdings LLC</t>
  </si>
  <si>
    <t>CL0069</t>
  </si>
  <si>
    <t>Brightwater Logistics Inc.</t>
  </si>
  <si>
    <t>CL0070</t>
  </si>
  <si>
    <t>Westmark Bank Ltd</t>
  </si>
  <si>
    <t>CL0071</t>
  </si>
  <si>
    <t>Oakridge Opportunities Fund LP</t>
  </si>
  <si>
    <t>CL0072</t>
  </si>
  <si>
    <t>Cedar Opportunities Fund Ltd</t>
  </si>
  <si>
    <t>CL0073</t>
  </si>
  <si>
    <t>Bluewater Securities Inc.</t>
  </si>
  <si>
    <t>CL0074</t>
  </si>
  <si>
    <t>Pinecrest Partners Inc.</t>
  </si>
  <si>
    <t>CL0075</t>
  </si>
  <si>
    <t>Silverline Employees Pension Plan</t>
  </si>
  <si>
    <t>CL0076</t>
  </si>
  <si>
    <t>Meridian Opportunities Fund LP</t>
  </si>
  <si>
    <t>CL0077</t>
  </si>
  <si>
    <t>Ironwood Workers Pension Plan</t>
  </si>
  <si>
    <t>CL0078</t>
  </si>
  <si>
    <t>Summit Trust Company LLC</t>
  </si>
  <si>
    <t>CL0079</t>
  </si>
  <si>
    <t>Lakeshore Securities Ltd</t>
  </si>
  <si>
    <t>CL0080</t>
  </si>
  <si>
    <t>Harbour Equity Income Fund Ltd</t>
  </si>
  <si>
    <t>CL0081</t>
  </si>
  <si>
    <t>Aurora Bank Ltd</t>
  </si>
  <si>
    <t>CL0082</t>
  </si>
  <si>
    <t>Westmark Legacy Trust</t>
  </si>
  <si>
    <t>CL0083</t>
  </si>
  <si>
    <t>Oakridge Global Macro Fund Ltd</t>
  </si>
  <si>
    <t>CL0084</t>
  </si>
  <si>
    <t>Pinecrest Multi-Strategy Fund Ltd</t>
  </si>
  <si>
    <t>CL0085</t>
  </si>
  <si>
    <t>North Logistics LLC</t>
  </si>
  <si>
    <t>CL0086</t>
  </si>
  <si>
    <t>Harbour Investments LLC</t>
  </si>
  <si>
    <t>CL0087</t>
  </si>
  <si>
    <t>Summit Bank Inc.</t>
  </si>
  <si>
    <t>CL0088</t>
  </si>
  <si>
    <t>Brightwater Bank Inc.</t>
  </si>
  <si>
    <t>CL0089</t>
  </si>
  <si>
    <t>Meridian Logistics Inc.</t>
  </si>
  <si>
    <t>CL0090</t>
  </si>
  <si>
    <t>Meridian Holdings Inc.</t>
  </si>
  <si>
    <t>CL0091</t>
  </si>
  <si>
    <t>Redstone Securities Pte Ltd</t>
  </si>
  <si>
    <t>Singapore</t>
  </si>
  <si>
    <t>CL0092</t>
  </si>
  <si>
    <t>Oakridge Advisors S.à r.l.</t>
  </si>
  <si>
    <t>CL0093</t>
  </si>
  <si>
    <t>Atlas Bank Pte Ltd</t>
  </si>
  <si>
    <t>CL0094</t>
  </si>
  <si>
    <t>Clearview Resources Ltd</t>
  </si>
  <si>
    <t>CL0095</t>
  </si>
  <si>
    <t>North Industries Ltd</t>
  </si>
  <si>
    <t>CL0096</t>
  </si>
  <si>
    <t>Oakridge Charitable Trust</t>
  </si>
  <si>
    <t>CL0097</t>
  </si>
  <si>
    <t>Crescent Holdings LLC</t>
  </si>
  <si>
    <t>CL0098</t>
  </si>
  <si>
    <t>Harbour Municipal Pension Plan</t>
  </si>
  <si>
    <t>CL0099</t>
  </si>
  <si>
    <t>Stonebridge Investments S.à r.l.</t>
  </si>
  <si>
    <t>CL0100</t>
  </si>
  <si>
    <t>Fairhaven Legacy Trust</t>
  </si>
  <si>
    <t>CL0101</t>
  </si>
  <si>
    <t>Brightwater Legacy Trust</t>
  </si>
  <si>
    <t>CL0102</t>
  </si>
  <si>
    <t>Eastbay Opportunities Fund LP</t>
  </si>
  <si>
    <t>CL0103</t>
  </si>
  <si>
    <t>North Holdings Ltd</t>
  </si>
  <si>
    <t>CL0104</t>
  </si>
  <si>
    <t>Brightwater Bank Ltd</t>
  </si>
  <si>
    <t>CL0105</t>
  </si>
  <si>
    <t>Cedar Industries Pty Ltd</t>
  </si>
  <si>
    <t>CL0106</t>
  </si>
  <si>
    <t>Granite Securities Ltd</t>
  </si>
  <si>
    <t>CL0107</t>
  </si>
  <si>
    <t>Oakridge Employees Pension Plan</t>
  </si>
  <si>
    <t>CL0108</t>
  </si>
  <si>
    <t>Bluewater Global Macro Fund Ltd</t>
  </si>
  <si>
    <t>CL0109</t>
  </si>
  <si>
    <t>Westmark Logistics Ltd</t>
  </si>
  <si>
    <t>CL0110</t>
  </si>
  <si>
    <t>Stonebridge Holdings Inc.</t>
  </si>
  <si>
    <t>CL0111</t>
  </si>
  <si>
    <t>Stonebridge Opportunities Fund Ltd</t>
  </si>
  <si>
    <t>CL0112</t>
  </si>
  <si>
    <t>Crescent Multi-Strategy Fund LP</t>
  </si>
  <si>
    <t>CL0113</t>
  </si>
  <si>
    <t>Summit Credit Fund Ltd</t>
  </si>
  <si>
    <t>CL0114</t>
  </si>
  <si>
    <t>Oakridge Legacy Trust</t>
  </si>
  <si>
    <t>CL0115</t>
  </si>
  <si>
    <t>Summit Partners Inc.</t>
  </si>
  <si>
    <t>CL0116</t>
  </si>
  <si>
    <t>Lakeshore Global Macro Fund Ltd</t>
  </si>
  <si>
    <t>CL0117</t>
  </si>
  <si>
    <t>Lakeshore Bank B.V.</t>
  </si>
  <si>
    <t>CL0118</t>
  </si>
  <si>
    <t>Meridian Opportunities Fund Ltd</t>
  </si>
  <si>
    <t>CL0119</t>
  </si>
  <si>
    <t>Fairhaven Global Macro Fund Ltd</t>
  </si>
  <si>
    <t>CL0120</t>
  </si>
  <si>
    <t>Granite Multi-Strategy Fund Ltd</t>
  </si>
  <si>
    <t>France</t>
  </si>
  <si>
    <t>CL0121</t>
  </si>
  <si>
    <t>Fairhaven Asset Management S.à r.l.</t>
  </si>
  <si>
    <t>CL0122</t>
  </si>
  <si>
    <t>Lakeshore Global LLC</t>
  </si>
  <si>
    <t>CL0123</t>
  </si>
  <si>
    <t>Stonebridge Global Macro Fund Ltd</t>
  </si>
  <si>
    <t>CL0124</t>
  </si>
  <si>
    <t>Stonebridge Bank LLC</t>
  </si>
  <si>
    <t>CL0125</t>
  </si>
  <si>
    <t>Brightwater Partners Ltd</t>
  </si>
  <si>
    <t>CL0126</t>
  </si>
  <si>
    <t>Maple Employees Pension Plan</t>
  </si>
  <si>
    <t>CL0127</t>
  </si>
  <si>
    <t>Stonebridge Legacy Trust</t>
  </si>
  <si>
    <t>CL0128</t>
  </si>
  <si>
    <t>Aurora Trust Company Inc.</t>
  </si>
  <si>
    <t>CL0129</t>
  </si>
  <si>
    <t>Brightwater Equity Income Fund LP</t>
  </si>
  <si>
    <t>CL0130</t>
  </si>
  <si>
    <t>Aurora Energy Pty Ltd</t>
  </si>
  <si>
    <t>CL0131</t>
  </si>
  <si>
    <t>Fairhaven Opportunities Fund LP</t>
  </si>
  <si>
    <t>CL0132</t>
  </si>
  <si>
    <t>Cedar Equity Income Fund LP</t>
  </si>
  <si>
    <t>CL0133</t>
  </si>
  <si>
    <t>Bluewater Credit Fund Ltd</t>
  </si>
  <si>
    <t>CL0134</t>
  </si>
  <si>
    <t>Summit Trust Company Inc.</t>
  </si>
  <si>
    <t>CL0135</t>
  </si>
  <si>
    <t>Maple Industries Inc.</t>
  </si>
  <si>
    <t>CL0136</t>
  </si>
  <si>
    <t>Fairhaven Securities Ltd</t>
  </si>
  <si>
    <t>CL0137</t>
  </si>
  <si>
    <t>Redstone Trust Company Inc.</t>
  </si>
  <si>
    <t>CL0138</t>
  </si>
  <si>
    <t>Crescent Workers Pension Plan</t>
  </si>
  <si>
    <t>CL0139</t>
  </si>
  <si>
    <t>Stonebridge Equity Income Fund LP</t>
  </si>
  <si>
    <t>CL0140</t>
  </si>
  <si>
    <t>North Partners Inc.</t>
  </si>
  <si>
    <t>CL0141</t>
  </si>
  <si>
    <t>Redstone Advisors Pte Ltd</t>
  </si>
  <si>
    <t>CL0142</t>
  </si>
  <si>
    <t>Bluewater Multi-Strategy Fund LP</t>
  </si>
  <si>
    <t>CL0143</t>
  </si>
  <si>
    <t>Granite Legacy Trust</t>
  </si>
  <si>
    <t>CL0144</t>
  </si>
  <si>
    <t>Meridian Capital B.V.</t>
  </si>
  <si>
    <t>CL0145</t>
  </si>
  <si>
    <t>Atlas Equity Income Fund Ltd</t>
  </si>
  <si>
    <t>CL0146</t>
  </si>
  <si>
    <t>Crescent Opportunities Fund Ltd</t>
  </si>
  <si>
    <t>CL0147</t>
  </si>
  <si>
    <t>Harbour Energy S.à r.l.</t>
  </si>
  <si>
    <t>CL0148</t>
  </si>
  <si>
    <t>Pinecrest Equity Income Fund LP</t>
  </si>
  <si>
    <t>CL0149</t>
  </si>
  <si>
    <t>Cedar Holdings Inc.</t>
  </si>
  <si>
    <t>CL0150</t>
  </si>
  <si>
    <t>Granite Credit Fund Ltd</t>
  </si>
  <si>
    <t>CL0151</t>
  </si>
  <si>
    <t>Cedar Credit Fund Ltd</t>
  </si>
  <si>
    <t>CL0152</t>
  </si>
  <si>
    <t>Redstone Credit Fund Ltd</t>
  </si>
  <si>
    <t>CL0153</t>
  </si>
  <si>
    <t>Fairhaven Multi-Strategy Fund Ltd</t>
  </si>
  <si>
    <t>CL0154</t>
  </si>
  <si>
    <t>Eastbay Charitable Trust</t>
  </si>
  <si>
    <t>CL0155</t>
  </si>
  <si>
    <t>Silverline Credit Fund Ltd</t>
  </si>
  <si>
    <t>CL0156</t>
  </si>
  <si>
    <t>Aurora Bank LLC</t>
  </si>
  <si>
    <t>CL0157</t>
  </si>
  <si>
    <t>Ironwood Credit Fund LP</t>
  </si>
  <si>
    <t>CL0158</t>
  </si>
  <si>
    <t>Lakeshore Teachers Pension Plan</t>
  </si>
  <si>
    <t>CL0159</t>
  </si>
  <si>
    <t>Eastbay Capital LLC</t>
  </si>
  <si>
    <t>CL0160</t>
  </si>
  <si>
    <t>Atlas Family Trust</t>
  </si>
  <si>
    <t>CL0161</t>
  </si>
  <si>
    <t>Highgate Opportunities Fund Ltd</t>
  </si>
  <si>
    <t>CL0162</t>
  </si>
  <si>
    <t>Cedar Trust Company LLC</t>
  </si>
  <si>
    <t>CL0163</t>
  </si>
  <si>
    <t>Kingsway Multi-Strategy Fund Ltd</t>
  </si>
  <si>
    <t>CL0164</t>
  </si>
  <si>
    <t>Westmark Heritage Trust</t>
  </si>
  <si>
    <t>CL0165</t>
  </si>
  <si>
    <t>Highgate Multi-Strategy Fund LP</t>
  </si>
  <si>
    <t>CL0166</t>
  </si>
  <si>
    <t>Granite Advisors Ltd</t>
  </si>
  <si>
    <t>CL0167</t>
  </si>
  <si>
    <t>Meridian Energy Ltd</t>
  </si>
  <si>
    <t>CL0168</t>
  </si>
  <si>
    <t>Kingsway Equity Income Fund LP</t>
  </si>
  <si>
    <t>CL0169</t>
  </si>
  <si>
    <t>Summit Multi-Strategy Fund LP</t>
  </si>
  <si>
    <t>CL0170</t>
  </si>
  <si>
    <t>Oakridge Multi-Strategy Fund LP</t>
  </si>
  <si>
    <t>CL0171</t>
  </si>
  <si>
    <t>Redstone Employees Pension Plan</t>
  </si>
  <si>
    <t>CL0172</t>
  </si>
  <si>
    <t>Lakeshore Industries LLC</t>
  </si>
  <si>
    <t>CL0173</t>
  </si>
  <si>
    <t>Stonebridge Logistics Inc.</t>
  </si>
  <si>
    <t>CL0174</t>
  </si>
  <si>
    <t>Maple Credit Fund LP</t>
  </si>
  <si>
    <t>CL0175</t>
  </si>
  <si>
    <t>Eastbay Global Macro Fund Ltd</t>
  </si>
  <si>
    <t>CL0176</t>
  </si>
  <si>
    <t>Cedar Trust Company Ltd</t>
  </si>
  <si>
    <t>CL0177</t>
  </si>
  <si>
    <t>North Credit Fund LP</t>
  </si>
  <si>
    <t>CL0178</t>
  </si>
  <si>
    <t>Harbour Logistics Inc.</t>
  </si>
  <si>
    <t>CL0179</t>
  </si>
  <si>
    <t>Eastbay Opportunities Fund Ltd</t>
  </si>
  <si>
    <t>CL0180</t>
  </si>
  <si>
    <t>Pinecrest Logistics B.V.</t>
  </si>
  <si>
    <t>CL0181</t>
  </si>
  <si>
    <t>Pinecrest Energy LLC</t>
  </si>
  <si>
    <t>CL0182</t>
  </si>
  <si>
    <t>Lakeshore Workers Pension Plan</t>
  </si>
  <si>
    <t>CL0183</t>
  </si>
  <si>
    <t>North Employees Pension Plan</t>
  </si>
  <si>
    <t>CL0184</t>
  </si>
  <si>
    <t>Silverline Opportunities Fund Ltd</t>
  </si>
  <si>
    <t>CL0185</t>
  </si>
  <si>
    <t>Pinecrest Workers Pension Plan</t>
  </si>
  <si>
    <t>CL0186</t>
  </si>
  <si>
    <t>Eastbay Teachers Pension Plan</t>
  </si>
  <si>
    <t>CL0187</t>
  </si>
  <si>
    <t>Cedar Teachers Pension Plan</t>
  </si>
  <si>
    <t>CL0188</t>
  </si>
  <si>
    <t>Bluewater Trust Company GmbH</t>
  </si>
  <si>
    <t>CL0189</t>
  </si>
  <si>
    <t>Redstone Teachers Pension Plan</t>
  </si>
  <si>
    <t>CL0190</t>
  </si>
  <si>
    <t>Oakridge Workers Pension Plan</t>
  </si>
  <si>
    <t>CL0191</t>
  </si>
  <si>
    <t>Granite Logistics Inc.</t>
  </si>
  <si>
    <t>CL0192</t>
  </si>
  <si>
    <t>Maple Asset Management LLC</t>
  </si>
  <si>
    <t>CL0193</t>
  </si>
  <si>
    <t>Harbour Heritage Trust</t>
  </si>
  <si>
    <t>CL0194</t>
  </si>
  <si>
    <t>Aurora Resources SA</t>
  </si>
  <si>
    <t>CL0195</t>
  </si>
  <si>
    <t>Lakeshore Legacy Trust</t>
  </si>
  <si>
    <t>CL0196</t>
  </si>
  <si>
    <t>Summit Holdings LLC</t>
  </si>
  <si>
    <t>CL0197</t>
  </si>
  <si>
    <t>Pinecrest Global Inc.</t>
  </si>
  <si>
    <t>CL0198</t>
  </si>
  <si>
    <t>Highgate Multi-Strategy Fund Ltd</t>
  </si>
  <si>
    <t>CL0199</t>
  </si>
  <si>
    <t>Crescent Securities LLC</t>
  </si>
  <si>
    <t>CL0200</t>
  </si>
  <si>
    <t>Silverline Energy Inc.</t>
  </si>
  <si>
    <t>Field</t>
  </si>
  <si>
    <t>Old_Value</t>
  </si>
  <si>
    <t>New_Value</t>
  </si>
  <si>
    <t>Date</t>
  </si>
  <si>
    <t>Reason</t>
  </si>
  <si>
    <t>Region did not match country (Japan)</t>
  </si>
  <si>
    <t>Region did not match country (Germany)</t>
  </si>
  <si>
    <t>Region did not match country (Singapore)</t>
  </si>
  <si>
    <t>Region did not match country (France)</t>
  </si>
  <si>
    <t>Jurisdiction</t>
  </si>
  <si>
    <t>Points</t>
  </si>
  <si>
    <t>Jurisdiction_Score</t>
  </si>
  <si>
    <t>Entity_Score</t>
  </si>
  <si>
    <t>Ownership_Score</t>
  </si>
  <si>
    <t>UBO_Score</t>
  </si>
  <si>
    <t>PEP_Score</t>
  </si>
  <si>
    <t>Media_Score</t>
  </si>
  <si>
    <t>Total_Score</t>
  </si>
  <si>
    <t>Sanctions_Flag</t>
  </si>
  <si>
    <t>Risk_Rating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</si>
</sst>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color rgb="FF595959"/>
      <name val="Arial"/>
    </font>
    <font>
      <i/>
      <sz val="11"/>
      <color rgb="FF808080"/>
      <name val="Arial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left"/>
    </xf>
    <xf numFmtId="0" fontId="0" fillId="4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75" x14ac:dyDescent="0.75"/>
  <cols>
    <col min="1" max="1" width="12" customWidth="1"/>
    <col min="2" max="2" width="32" customWidth="1"/>
    <col min="3" max="3" width="18" customWidth="1"/>
    <col min="4" max="4" width="14" customWidth="1"/>
    <col min="5" max="5" width="11" customWidth="1"/>
    <col min="6" max="6" width="15" customWidth="1"/>
    <col min="7" max="7" width="20" customWidth="1"/>
    <col min="8" max="8" width="15" customWidth="1"/>
    <col min="9" max="9" width="16" customWidth="1"/>
    <col min="10" max="10" width="15" customWidth="1"/>
    <col min="11" max="11" width="20" customWidth="1"/>
    <col min="12" max="12" width="17" style="6" customWidth="1"/>
    <col min="14" max="14" width="48" customWidth="1"/>
  </cols>
  <sheetData>
    <row r="1" spans="1:14" ht="22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N1" s="2" t="s">
        <v>12</v>
      </c>
    </row>
    <row r="2" spans="1:14" x14ac:dyDescent="0.75">
      <c r="A2" t="s">
        <v>13</v>
      </c>
      <c r="B2" t="s">
        <v>29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19</v>
      </c>
      <c r="I2" t="s">
        <v>19</v>
      </c>
      <c r="J2" t="s">
        <v>20</v>
      </c>
      <c r="K2" t="s">
        <v>21</v>
      </c>
      <c r="L2" s="6">
        <v>45020</v>
      </c>
      <c r="N2" s="3" t="s">
        <v>22</v>
      </c>
    </row>
    <row r="3" spans="1:14" x14ac:dyDescent="0.7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16</v>
      </c>
      <c r="G3" t="s">
        <v>35</v>
      </c>
      <c r="H3" t="s">
        <v>18</v>
      </c>
      <c r="I3" t="s">
        <v>19</v>
      </c>
      <c r="J3" t="s">
        <v>20</v>
      </c>
      <c r="K3" t="s">
        <v>21</v>
      </c>
      <c r="L3" s="6">
        <v>45975</v>
      </c>
      <c r="N3" s="3" t="s">
        <v>23</v>
      </c>
    </row>
    <row r="4" spans="1:14" x14ac:dyDescent="0.75">
      <c r="A4" s="7" t="s">
        <v>36</v>
      </c>
      <c r="B4" s="7" t="s">
        <v>37</v>
      </c>
      <c r="C4" s="7" t="s">
        <v>14</v>
      </c>
      <c r="D4" s="7" t="s">
        <v>38</v>
      </c>
      <c r="E4" s="7" t="s">
        <v>59</v>
      </c>
      <c r="F4" s="7" t="s">
        <v>16</v>
      </c>
      <c r="G4" s="7" t="s">
        <v>35</v>
      </c>
      <c r="H4" s="7" t="s">
        <v>18</v>
      </c>
      <c r="I4" s="7" t="s">
        <v>19</v>
      </c>
      <c r="J4" s="7" t="s">
        <v>20</v>
      </c>
      <c r="K4" s="7" t="s">
        <v>21</v>
      </c>
      <c r="L4" s="8">
        <v>46293</v>
      </c>
      <c r="N4" s="3" t="s">
        <v>24</v>
      </c>
    </row>
    <row r="5" spans="1:14" x14ac:dyDescent="0.75">
      <c r="A5" t="s">
        <v>40</v>
      </c>
      <c r="B5" t="s">
        <v>41</v>
      </c>
      <c r="C5" t="s">
        <v>14</v>
      </c>
      <c r="D5" t="s">
        <v>15</v>
      </c>
      <c r="E5" t="s">
        <v>15</v>
      </c>
      <c r="F5" t="s">
        <v>16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 s="6">
        <v>45334</v>
      </c>
    </row>
    <row r="6" spans="1:14" x14ac:dyDescent="0.75">
      <c r="A6" t="s">
        <v>42</v>
      </c>
      <c r="B6" t="s">
        <v>43</v>
      </c>
      <c r="C6" t="s">
        <v>14</v>
      </c>
      <c r="D6" t="s">
        <v>15</v>
      </c>
      <c r="E6" t="s">
        <v>15</v>
      </c>
      <c r="F6" t="s">
        <v>44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 s="6">
        <v>45698</v>
      </c>
    </row>
    <row r="7" spans="1:14" x14ac:dyDescent="0.75">
      <c r="A7" t="s">
        <v>45</v>
      </c>
      <c r="B7" t="s">
        <v>46</v>
      </c>
      <c r="C7" t="s">
        <v>47</v>
      </c>
      <c r="D7" t="s">
        <v>15</v>
      </c>
      <c r="E7" t="s">
        <v>15</v>
      </c>
      <c r="F7" t="s">
        <v>16</v>
      </c>
      <c r="G7" t="s">
        <v>35</v>
      </c>
      <c r="H7" t="s">
        <v>18</v>
      </c>
      <c r="I7" t="s">
        <v>19</v>
      </c>
      <c r="J7" t="s">
        <v>20</v>
      </c>
      <c r="K7" t="s">
        <v>21</v>
      </c>
      <c r="L7" s="6">
        <v>45387</v>
      </c>
      <c r="N7">
        <f>COUNTA(A2:A201)</f>
        <v>200</v>
      </c>
    </row>
    <row r="8" spans="1:14" x14ac:dyDescent="0.75">
      <c r="A8" t="s">
        <v>48</v>
      </c>
      <c r="B8" t="s">
        <v>49</v>
      </c>
      <c r="C8" t="s">
        <v>50</v>
      </c>
      <c r="D8" t="s">
        <v>33</v>
      </c>
      <c r="E8" t="s">
        <v>34</v>
      </c>
      <c r="F8" t="s">
        <v>51</v>
      </c>
      <c r="G8" t="s">
        <v>35</v>
      </c>
      <c r="H8" t="s">
        <v>18</v>
      </c>
      <c r="I8" t="s">
        <v>19</v>
      </c>
      <c r="J8" t="s">
        <v>20</v>
      </c>
      <c r="K8" t="s">
        <v>21</v>
      </c>
      <c r="L8" s="6">
        <v>44881</v>
      </c>
      <c r="N8">
        <f>COUNTBLANK(L2:L201)</f>
        <v>3</v>
      </c>
    </row>
    <row r="9" spans="1:14" x14ac:dyDescent="0.75">
      <c r="A9" t="s">
        <v>52</v>
      </c>
      <c r="B9" t="s">
        <v>53</v>
      </c>
      <c r="C9" t="s">
        <v>14</v>
      </c>
      <c r="D9" t="s">
        <v>54</v>
      </c>
      <c r="E9" t="s">
        <v>55</v>
      </c>
      <c r="F9" t="s">
        <v>51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s="6">
        <v>45404</v>
      </c>
      <c r="N9">
        <f>COUNTBLANK(H2:H201)</f>
        <v>2</v>
      </c>
    </row>
    <row r="10" spans="1:14" x14ac:dyDescent="0.75">
      <c r="A10" t="s">
        <v>56</v>
      </c>
      <c r="B10" t="s">
        <v>57</v>
      </c>
      <c r="C10" t="s">
        <v>32</v>
      </c>
      <c r="D10" t="s">
        <v>58</v>
      </c>
      <c r="E10" t="s">
        <v>59</v>
      </c>
      <c r="F10" t="s">
        <v>16</v>
      </c>
      <c r="G10" t="s">
        <v>35</v>
      </c>
      <c r="H10" t="s">
        <v>18</v>
      </c>
      <c r="I10" t="s">
        <v>19</v>
      </c>
      <c r="J10" t="s">
        <v>20</v>
      </c>
      <c r="K10" t="s">
        <v>21</v>
      </c>
      <c r="L10" s="6">
        <v>46183</v>
      </c>
      <c r="N10">
        <f>COUNTIF(K2:K201,"Potential Match")</f>
        <v>6</v>
      </c>
    </row>
    <row r="11" spans="1:14" x14ac:dyDescent="0.75">
      <c r="A11" t="s">
        <v>60</v>
      </c>
      <c r="B11" t="s">
        <v>61</v>
      </c>
      <c r="C11" t="s">
        <v>32</v>
      </c>
      <c r="D11" t="s">
        <v>15</v>
      </c>
      <c r="E11" t="s">
        <v>15</v>
      </c>
      <c r="F11" t="s">
        <v>16</v>
      </c>
      <c r="G11" t="s">
        <v>35</v>
      </c>
      <c r="H11" t="s">
        <v>18</v>
      </c>
      <c r="I11" t="s">
        <v>19</v>
      </c>
      <c r="J11" t="s">
        <v>20</v>
      </c>
      <c r="K11" t="s">
        <v>21</v>
      </c>
      <c r="L11" s="6">
        <v>45890</v>
      </c>
      <c r="N11">
        <f>COUNTIF(I2:I201,"Y")</f>
        <v>10</v>
      </c>
    </row>
    <row r="12" spans="1:14" x14ac:dyDescent="0.75">
      <c r="A12" t="s">
        <v>62</v>
      </c>
      <c r="B12" t="s">
        <v>63</v>
      </c>
      <c r="C12" t="s">
        <v>64</v>
      </c>
      <c r="D12" t="s">
        <v>65</v>
      </c>
      <c r="E12" t="s">
        <v>55</v>
      </c>
      <c r="F12" t="s">
        <v>51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s="6">
        <v>45060</v>
      </c>
      <c r="N12" s="7" t="s">
        <v>36</v>
      </c>
    </row>
    <row r="13" spans="1:14" x14ac:dyDescent="0.75">
      <c r="A13" t="s">
        <v>66</v>
      </c>
      <c r="B13" t="s">
        <v>67</v>
      </c>
      <c r="C13" t="s">
        <v>50</v>
      </c>
      <c r="D13" t="s">
        <v>33</v>
      </c>
      <c r="E13" t="s">
        <v>34</v>
      </c>
      <c r="F13" t="s">
        <v>16</v>
      </c>
      <c r="G13" t="s">
        <v>35</v>
      </c>
      <c r="H13" t="s">
        <v>18</v>
      </c>
      <c r="I13" t="s">
        <v>19</v>
      </c>
      <c r="J13" t="s">
        <v>20</v>
      </c>
      <c r="K13" t="s">
        <v>21</v>
      </c>
      <c r="L13" s="6">
        <v>46134</v>
      </c>
      <c r="N13" s="7" t="s">
        <v>125</v>
      </c>
    </row>
    <row r="14" spans="1:14" x14ac:dyDescent="0.75">
      <c r="A14" t="s">
        <v>68</v>
      </c>
      <c r="B14" t="s">
        <v>69</v>
      </c>
      <c r="C14" t="s">
        <v>14</v>
      </c>
      <c r="D14" t="s">
        <v>15</v>
      </c>
      <c r="E14" t="s">
        <v>15</v>
      </c>
      <c r="F14" t="s">
        <v>16</v>
      </c>
      <c r="G14" t="s">
        <v>35</v>
      </c>
      <c r="H14" t="s">
        <v>18</v>
      </c>
      <c r="I14" t="s">
        <v>19</v>
      </c>
      <c r="J14" t="s">
        <v>20</v>
      </c>
      <c r="K14" t="s">
        <v>21</v>
      </c>
      <c r="L14" s="6">
        <v>45536</v>
      </c>
      <c r="N14" s="7" t="s">
        <v>236</v>
      </c>
    </row>
    <row r="15" spans="1:14" x14ac:dyDescent="0.75">
      <c r="A15" t="s">
        <v>70</v>
      </c>
      <c r="B15" t="s">
        <v>71</v>
      </c>
      <c r="C15" t="s">
        <v>32</v>
      </c>
      <c r="D15" t="s">
        <v>72</v>
      </c>
      <c r="E15" t="s">
        <v>39</v>
      </c>
      <c r="F15" t="s">
        <v>44</v>
      </c>
      <c r="G15" t="s">
        <v>35</v>
      </c>
      <c r="H15" t="s">
        <v>18</v>
      </c>
      <c r="I15" t="s">
        <v>19</v>
      </c>
      <c r="J15" t="s">
        <v>20</v>
      </c>
      <c r="K15" t="s">
        <v>21</v>
      </c>
      <c r="L15" s="6">
        <v>45445</v>
      </c>
      <c r="N15" s="7" t="s">
        <v>295</v>
      </c>
    </row>
    <row r="16" spans="1:14" x14ac:dyDescent="0.75">
      <c r="A16" t="s">
        <v>73</v>
      </c>
      <c r="B16" t="s">
        <v>74</v>
      </c>
      <c r="C16" t="s">
        <v>64</v>
      </c>
      <c r="D16" t="s">
        <v>75</v>
      </c>
      <c r="E16" t="s">
        <v>55</v>
      </c>
      <c r="F16" t="s">
        <v>44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s="6">
        <v>45234</v>
      </c>
    </row>
    <row r="17" spans="1:12" x14ac:dyDescent="0.75">
      <c r="A17" t="s">
        <v>76</v>
      </c>
      <c r="B17" t="s">
        <v>77</v>
      </c>
      <c r="C17" t="s">
        <v>14</v>
      </c>
      <c r="D17" t="s">
        <v>78</v>
      </c>
      <c r="E17" t="s">
        <v>39</v>
      </c>
      <c r="F17" t="s">
        <v>51</v>
      </c>
      <c r="G17" t="s">
        <v>17</v>
      </c>
      <c r="H17" t="s">
        <v>19</v>
      </c>
      <c r="I17" t="s">
        <v>18</v>
      </c>
      <c r="J17" t="s">
        <v>20</v>
      </c>
      <c r="K17" t="s">
        <v>21</v>
      </c>
      <c r="L17" s="6">
        <v>45540</v>
      </c>
    </row>
    <row r="18" spans="1:12" x14ac:dyDescent="0.75">
      <c r="A18" t="s">
        <v>79</v>
      </c>
      <c r="B18" t="s">
        <v>80</v>
      </c>
      <c r="C18" t="s">
        <v>64</v>
      </c>
      <c r="D18" t="s">
        <v>33</v>
      </c>
      <c r="E18" t="s">
        <v>34</v>
      </c>
      <c r="F18" t="s">
        <v>44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s="6">
        <v>44838</v>
      </c>
    </row>
    <row r="19" spans="1:12" x14ac:dyDescent="0.75">
      <c r="A19" t="s">
        <v>81</v>
      </c>
      <c r="B19" t="s">
        <v>82</v>
      </c>
      <c r="C19" t="s">
        <v>47</v>
      </c>
      <c r="D19" t="s">
        <v>33</v>
      </c>
      <c r="E19" t="s">
        <v>34</v>
      </c>
      <c r="F19" t="s">
        <v>51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s="6">
        <v>46137</v>
      </c>
    </row>
    <row r="20" spans="1:12" x14ac:dyDescent="0.75">
      <c r="A20" t="s">
        <v>83</v>
      </c>
      <c r="B20" t="s">
        <v>84</v>
      </c>
      <c r="C20" t="s">
        <v>14</v>
      </c>
      <c r="D20" t="s">
        <v>15</v>
      </c>
      <c r="E20" t="s">
        <v>15</v>
      </c>
      <c r="F20" t="s">
        <v>16</v>
      </c>
      <c r="G20" t="s">
        <v>17</v>
      </c>
      <c r="H20" t="s">
        <v>19</v>
      </c>
      <c r="I20" t="s">
        <v>19</v>
      </c>
      <c r="J20" t="s">
        <v>85</v>
      </c>
      <c r="K20" t="s">
        <v>21</v>
      </c>
      <c r="L20" s="6">
        <v>46055</v>
      </c>
    </row>
    <row r="21" spans="1:12" x14ac:dyDescent="0.75">
      <c r="A21" t="s">
        <v>86</v>
      </c>
      <c r="B21" t="s">
        <v>87</v>
      </c>
      <c r="C21" t="s">
        <v>14</v>
      </c>
      <c r="D21" t="s">
        <v>65</v>
      </c>
      <c r="E21" t="s">
        <v>55</v>
      </c>
      <c r="F21" t="s">
        <v>16</v>
      </c>
      <c r="G21" t="s">
        <v>17</v>
      </c>
      <c r="H21" t="s">
        <v>18</v>
      </c>
      <c r="I21" t="s">
        <v>19</v>
      </c>
      <c r="J21" t="s">
        <v>85</v>
      </c>
      <c r="K21" t="s">
        <v>21</v>
      </c>
      <c r="L21" s="6">
        <v>45350</v>
      </c>
    </row>
    <row r="22" spans="1:12" x14ac:dyDescent="0.75">
      <c r="A22" t="s">
        <v>88</v>
      </c>
      <c r="B22" t="s">
        <v>89</v>
      </c>
      <c r="C22" t="s">
        <v>47</v>
      </c>
      <c r="D22" t="s">
        <v>15</v>
      </c>
      <c r="E22" t="s">
        <v>15</v>
      </c>
      <c r="F22" t="s">
        <v>51</v>
      </c>
      <c r="G22" t="s">
        <v>35</v>
      </c>
      <c r="H22" t="s">
        <v>18</v>
      </c>
      <c r="I22" t="s">
        <v>19</v>
      </c>
      <c r="J22" t="s">
        <v>20</v>
      </c>
      <c r="K22" t="s">
        <v>21</v>
      </c>
      <c r="L22" s="6">
        <v>45893</v>
      </c>
    </row>
    <row r="23" spans="1:12" x14ac:dyDescent="0.75">
      <c r="A23" t="s">
        <v>90</v>
      </c>
      <c r="B23" t="s">
        <v>91</v>
      </c>
      <c r="C23" t="s">
        <v>14</v>
      </c>
      <c r="D23" t="s">
        <v>33</v>
      </c>
      <c r="E23" t="s">
        <v>34</v>
      </c>
      <c r="F23" t="s">
        <v>16</v>
      </c>
      <c r="G23" t="s">
        <v>35</v>
      </c>
      <c r="H23" t="s">
        <v>18</v>
      </c>
      <c r="I23" t="s">
        <v>19</v>
      </c>
      <c r="J23" t="s">
        <v>20</v>
      </c>
      <c r="K23" t="s">
        <v>21</v>
      </c>
      <c r="L23" s="6">
        <v>46102</v>
      </c>
    </row>
    <row r="24" spans="1:12" x14ac:dyDescent="0.75">
      <c r="A24" t="s">
        <v>92</v>
      </c>
      <c r="B24" t="s">
        <v>93</v>
      </c>
      <c r="C24" t="s">
        <v>50</v>
      </c>
      <c r="D24" t="s">
        <v>94</v>
      </c>
      <c r="E24" t="s">
        <v>39</v>
      </c>
      <c r="F24" t="s">
        <v>16</v>
      </c>
      <c r="G24" t="s">
        <v>35</v>
      </c>
      <c r="H24" t="s">
        <v>18</v>
      </c>
      <c r="I24" t="s">
        <v>19</v>
      </c>
      <c r="J24" t="s">
        <v>85</v>
      </c>
      <c r="K24" t="s">
        <v>21</v>
      </c>
      <c r="L24" s="6">
        <v>44921</v>
      </c>
    </row>
    <row r="25" spans="1:12" x14ac:dyDescent="0.75">
      <c r="A25" t="s">
        <v>95</v>
      </c>
      <c r="B25" t="s">
        <v>96</v>
      </c>
      <c r="C25" t="s">
        <v>14</v>
      </c>
      <c r="D25" t="s">
        <v>94</v>
      </c>
      <c r="E25" t="s">
        <v>39</v>
      </c>
      <c r="F25" t="s">
        <v>51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s="6">
        <v>45814</v>
      </c>
    </row>
    <row r="26" spans="1:12" x14ac:dyDescent="0.75">
      <c r="A26" t="s">
        <v>97</v>
      </c>
      <c r="B26" t="s">
        <v>98</v>
      </c>
      <c r="C26" t="s">
        <v>47</v>
      </c>
      <c r="D26" t="s">
        <v>33</v>
      </c>
      <c r="E26" t="s">
        <v>34</v>
      </c>
      <c r="F26" t="s">
        <v>16</v>
      </c>
      <c r="G26" t="s">
        <v>35</v>
      </c>
      <c r="H26" t="s">
        <v>18</v>
      </c>
      <c r="I26" t="s">
        <v>19</v>
      </c>
      <c r="J26" t="s">
        <v>20</v>
      </c>
      <c r="K26" t="s">
        <v>21</v>
      </c>
      <c r="L26" s="6">
        <v>46209</v>
      </c>
    </row>
    <row r="27" spans="1:12" x14ac:dyDescent="0.75">
      <c r="A27" t="s">
        <v>99</v>
      </c>
      <c r="B27" t="s">
        <v>100</v>
      </c>
      <c r="C27" t="s">
        <v>50</v>
      </c>
      <c r="D27" t="s">
        <v>15</v>
      </c>
      <c r="E27" t="s">
        <v>15</v>
      </c>
      <c r="F27" t="s">
        <v>44</v>
      </c>
      <c r="G27" t="s">
        <v>35</v>
      </c>
      <c r="H27" t="s">
        <v>18</v>
      </c>
      <c r="I27" t="s">
        <v>19</v>
      </c>
      <c r="J27" t="s">
        <v>20</v>
      </c>
      <c r="K27" t="s">
        <v>21</v>
      </c>
      <c r="L27" s="6">
        <v>45792</v>
      </c>
    </row>
    <row r="28" spans="1:12" x14ac:dyDescent="0.75">
      <c r="A28" t="s">
        <v>101</v>
      </c>
      <c r="B28" t="s">
        <v>102</v>
      </c>
      <c r="C28" t="s">
        <v>14</v>
      </c>
      <c r="D28" t="s">
        <v>15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s="6">
        <v>45584</v>
      </c>
    </row>
    <row r="29" spans="1:12" x14ac:dyDescent="0.75">
      <c r="A29" t="s">
        <v>103</v>
      </c>
      <c r="B29" t="s">
        <v>104</v>
      </c>
      <c r="C29" t="s">
        <v>14</v>
      </c>
      <c r="D29" t="s">
        <v>15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s="6">
        <v>45049</v>
      </c>
    </row>
    <row r="30" spans="1:12" x14ac:dyDescent="0.75">
      <c r="A30" t="s">
        <v>105</v>
      </c>
      <c r="B30" t="s">
        <v>106</v>
      </c>
      <c r="C30" t="s">
        <v>50</v>
      </c>
      <c r="D30" t="s">
        <v>15</v>
      </c>
      <c r="E30" t="s">
        <v>15</v>
      </c>
      <c r="F30" t="s">
        <v>16</v>
      </c>
      <c r="G30" t="s">
        <v>17</v>
      </c>
      <c r="H30" t="s">
        <v>19</v>
      </c>
      <c r="I30" t="s">
        <v>19</v>
      </c>
      <c r="J30" t="s">
        <v>85</v>
      </c>
      <c r="K30" t="s">
        <v>21</v>
      </c>
      <c r="L30" s="6">
        <v>45140</v>
      </c>
    </row>
    <row r="31" spans="1:12" x14ac:dyDescent="0.75">
      <c r="A31" t="s">
        <v>107</v>
      </c>
      <c r="B31" t="s">
        <v>108</v>
      </c>
      <c r="C31" t="s">
        <v>47</v>
      </c>
      <c r="D31" t="s">
        <v>33</v>
      </c>
      <c r="E31" t="s">
        <v>34</v>
      </c>
      <c r="F31" t="s">
        <v>51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s="6">
        <v>45368</v>
      </c>
    </row>
    <row r="32" spans="1:12" x14ac:dyDescent="0.75">
      <c r="A32" t="s">
        <v>109</v>
      </c>
      <c r="B32" t="s">
        <v>110</v>
      </c>
      <c r="C32" t="s">
        <v>50</v>
      </c>
      <c r="D32" t="s">
        <v>15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85</v>
      </c>
      <c r="K32" t="s">
        <v>21</v>
      </c>
      <c r="L32" s="6">
        <v>46288</v>
      </c>
    </row>
    <row r="33" spans="1:12" x14ac:dyDescent="0.75">
      <c r="A33" t="s">
        <v>111</v>
      </c>
      <c r="B33" t="s">
        <v>112</v>
      </c>
      <c r="C33" t="s">
        <v>64</v>
      </c>
      <c r="D33" t="s">
        <v>15</v>
      </c>
      <c r="E33" t="s">
        <v>15</v>
      </c>
      <c r="F33" t="s">
        <v>51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s="6">
        <v>46211</v>
      </c>
    </row>
    <row r="34" spans="1:12" x14ac:dyDescent="0.75">
      <c r="A34" t="s">
        <v>113</v>
      </c>
      <c r="B34" t="s">
        <v>114</v>
      </c>
      <c r="C34" t="s">
        <v>32</v>
      </c>
      <c r="D34" t="s">
        <v>15</v>
      </c>
      <c r="E34" t="s">
        <v>15</v>
      </c>
      <c r="F34" t="s">
        <v>44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s="6">
        <v>45052</v>
      </c>
    </row>
    <row r="35" spans="1:12" x14ac:dyDescent="0.75">
      <c r="A35" t="s">
        <v>115</v>
      </c>
      <c r="B35" t="s">
        <v>116</v>
      </c>
      <c r="C35" t="s">
        <v>47</v>
      </c>
      <c r="D35" t="s">
        <v>117</v>
      </c>
      <c r="E35" t="s">
        <v>118</v>
      </c>
      <c r="F35" t="s">
        <v>44</v>
      </c>
      <c r="G35" t="s">
        <v>35</v>
      </c>
      <c r="H35" t="s">
        <v>18</v>
      </c>
      <c r="I35" t="s">
        <v>19</v>
      </c>
      <c r="J35" t="s">
        <v>20</v>
      </c>
      <c r="K35" t="s">
        <v>21</v>
      </c>
      <c r="L35" s="6">
        <v>46137</v>
      </c>
    </row>
    <row r="36" spans="1:12" x14ac:dyDescent="0.75">
      <c r="A36" t="s">
        <v>119</v>
      </c>
      <c r="B36" t="s">
        <v>120</v>
      </c>
      <c r="C36" t="s">
        <v>64</v>
      </c>
      <c r="D36" t="s">
        <v>15</v>
      </c>
      <c r="E36" t="s">
        <v>15</v>
      </c>
      <c r="F36" t="s">
        <v>44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s="6">
        <v>45871</v>
      </c>
    </row>
    <row r="37" spans="1:12" x14ac:dyDescent="0.75">
      <c r="A37" t="s">
        <v>121</v>
      </c>
      <c r="B37" t="s">
        <v>122</v>
      </c>
      <c r="C37" t="s">
        <v>14</v>
      </c>
      <c r="D37" t="s">
        <v>117</v>
      </c>
      <c r="E37" t="s">
        <v>118</v>
      </c>
      <c r="F37" t="s">
        <v>44</v>
      </c>
      <c r="G37" t="s">
        <v>17</v>
      </c>
      <c r="H37" t="s">
        <v>19</v>
      </c>
      <c r="I37" t="s">
        <v>19</v>
      </c>
      <c r="J37" t="s">
        <v>20</v>
      </c>
      <c r="K37" t="s">
        <v>21</v>
      </c>
      <c r="L37" s="6">
        <v>45955</v>
      </c>
    </row>
    <row r="38" spans="1:12" x14ac:dyDescent="0.75">
      <c r="A38" t="s">
        <v>123</v>
      </c>
      <c r="B38" t="s">
        <v>124</v>
      </c>
      <c r="C38" t="s">
        <v>64</v>
      </c>
      <c r="D38" t="s">
        <v>15</v>
      </c>
      <c r="E38" t="s">
        <v>15</v>
      </c>
      <c r="F38" t="s">
        <v>16</v>
      </c>
      <c r="G38" t="s">
        <v>17</v>
      </c>
      <c r="H38" t="s">
        <v>19</v>
      </c>
      <c r="I38" t="s">
        <v>19</v>
      </c>
      <c r="J38" t="s">
        <v>20</v>
      </c>
      <c r="K38" t="s">
        <v>21</v>
      </c>
      <c r="L38" s="6">
        <v>45868</v>
      </c>
    </row>
    <row r="39" spans="1:12" x14ac:dyDescent="0.75">
      <c r="A39" s="7" t="s">
        <v>125</v>
      </c>
      <c r="B39" s="7" t="s">
        <v>126</v>
      </c>
      <c r="C39" s="7" t="s">
        <v>50</v>
      </c>
      <c r="D39" s="7" t="s">
        <v>127</v>
      </c>
      <c r="E39" s="7" t="s">
        <v>39</v>
      </c>
      <c r="F39" s="7" t="s">
        <v>51</v>
      </c>
      <c r="G39" s="7" t="s">
        <v>35</v>
      </c>
      <c r="H39" s="7" t="s">
        <v>18</v>
      </c>
      <c r="I39" s="7" t="s">
        <v>18</v>
      </c>
      <c r="J39" s="7" t="s">
        <v>20</v>
      </c>
      <c r="K39" s="7" t="s">
        <v>21</v>
      </c>
      <c r="L39" s="8">
        <v>45918</v>
      </c>
    </row>
    <row r="40" spans="1:12" x14ac:dyDescent="0.75">
      <c r="A40" t="s">
        <v>128</v>
      </c>
      <c r="B40" t="s">
        <v>129</v>
      </c>
      <c r="C40" t="s">
        <v>47</v>
      </c>
      <c r="D40" t="s">
        <v>130</v>
      </c>
      <c r="E40" t="s">
        <v>59</v>
      </c>
      <c r="F40" t="s">
        <v>51</v>
      </c>
      <c r="G40" t="s">
        <v>35</v>
      </c>
      <c r="H40" t="s">
        <v>18</v>
      </c>
      <c r="I40" t="s">
        <v>19</v>
      </c>
      <c r="J40" t="s">
        <v>20</v>
      </c>
      <c r="K40" t="s">
        <v>21</v>
      </c>
      <c r="L40" s="6">
        <v>44924</v>
      </c>
    </row>
    <row r="41" spans="1:12" x14ac:dyDescent="0.75">
      <c r="A41" t="s">
        <v>131</v>
      </c>
      <c r="B41" t="s">
        <v>132</v>
      </c>
      <c r="C41" t="s">
        <v>47</v>
      </c>
      <c r="D41" t="s">
        <v>58</v>
      </c>
      <c r="E41" t="s">
        <v>59</v>
      </c>
      <c r="F41" t="s">
        <v>51</v>
      </c>
      <c r="G41" t="s">
        <v>35</v>
      </c>
      <c r="H41" t="s">
        <v>18</v>
      </c>
      <c r="I41" t="s">
        <v>19</v>
      </c>
      <c r="J41" t="s">
        <v>20</v>
      </c>
      <c r="K41" t="s">
        <v>133</v>
      </c>
      <c r="L41" s="6">
        <v>46291</v>
      </c>
    </row>
    <row r="42" spans="1:12" x14ac:dyDescent="0.75">
      <c r="A42" t="s">
        <v>134</v>
      </c>
      <c r="B42" t="s">
        <v>135</v>
      </c>
      <c r="C42" t="s">
        <v>14</v>
      </c>
      <c r="D42" t="s">
        <v>136</v>
      </c>
      <c r="E42" t="s">
        <v>39</v>
      </c>
      <c r="F42" t="s">
        <v>51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s="6">
        <v>46117</v>
      </c>
    </row>
    <row r="43" spans="1:12" x14ac:dyDescent="0.75">
      <c r="A43" t="s">
        <v>137</v>
      </c>
      <c r="B43" t="s">
        <v>138</v>
      </c>
      <c r="C43" t="s">
        <v>14</v>
      </c>
      <c r="D43" t="s">
        <v>33</v>
      </c>
      <c r="E43" t="s">
        <v>34</v>
      </c>
      <c r="F43" t="s">
        <v>51</v>
      </c>
      <c r="G43" t="s">
        <v>35</v>
      </c>
      <c r="H43" t="s">
        <v>18</v>
      </c>
      <c r="I43" t="s">
        <v>19</v>
      </c>
      <c r="J43" t="s">
        <v>20</v>
      </c>
      <c r="K43" t="s">
        <v>21</v>
      </c>
      <c r="L43" s="6">
        <v>45351</v>
      </c>
    </row>
    <row r="44" spans="1:12" x14ac:dyDescent="0.75">
      <c r="A44" t="s">
        <v>139</v>
      </c>
      <c r="B44" t="s">
        <v>140</v>
      </c>
      <c r="C44" t="s">
        <v>50</v>
      </c>
      <c r="D44" t="s">
        <v>78</v>
      </c>
      <c r="E44" t="s">
        <v>39</v>
      </c>
      <c r="F44" t="s">
        <v>44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s="6">
        <v>45423</v>
      </c>
    </row>
    <row r="45" spans="1:12" x14ac:dyDescent="0.75">
      <c r="A45" t="s">
        <v>141</v>
      </c>
      <c r="B45" t="s">
        <v>142</v>
      </c>
      <c r="C45" t="s">
        <v>14</v>
      </c>
      <c r="D45" t="s">
        <v>94</v>
      </c>
      <c r="E45" t="s">
        <v>39</v>
      </c>
      <c r="F45" t="s">
        <v>51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s="6">
        <v>45829</v>
      </c>
    </row>
    <row r="46" spans="1:12" x14ac:dyDescent="0.75">
      <c r="A46" t="s">
        <v>143</v>
      </c>
      <c r="B46" t="s">
        <v>144</v>
      </c>
      <c r="C46" t="s">
        <v>47</v>
      </c>
      <c r="D46" t="s">
        <v>15</v>
      </c>
      <c r="E46" t="s">
        <v>15</v>
      </c>
      <c r="F46" t="s">
        <v>44</v>
      </c>
      <c r="G46" t="s">
        <v>35</v>
      </c>
      <c r="H46" t="s">
        <v>18</v>
      </c>
      <c r="I46" t="s">
        <v>19</v>
      </c>
      <c r="J46" t="s">
        <v>20</v>
      </c>
      <c r="K46" t="s">
        <v>21</v>
      </c>
      <c r="L46" s="6">
        <v>45243</v>
      </c>
    </row>
    <row r="47" spans="1:12" x14ac:dyDescent="0.75">
      <c r="A47" t="s">
        <v>145</v>
      </c>
      <c r="B47" t="s">
        <v>146</v>
      </c>
      <c r="C47" t="s">
        <v>64</v>
      </c>
      <c r="D47" t="s">
        <v>15</v>
      </c>
      <c r="E47" t="s">
        <v>15</v>
      </c>
      <c r="F47" t="s">
        <v>16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s="6">
        <v>45266</v>
      </c>
    </row>
    <row r="48" spans="1:12" x14ac:dyDescent="0.75">
      <c r="A48" t="s">
        <v>147</v>
      </c>
      <c r="B48" t="s">
        <v>148</v>
      </c>
      <c r="C48" t="s">
        <v>50</v>
      </c>
      <c r="D48" t="s">
        <v>15</v>
      </c>
      <c r="E48" t="s">
        <v>15</v>
      </c>
      <c r="F48" t="s">
        <v>51</v>
      </c>
      <c r="G48" t="s">
        <v>35</v>
      </c>
      <c r="H48" t="s">
        <v>18</v>
      </c>
      <c r="I48" t="s">
        <v>19</v>
      </c>
      <c r="J48" t="s">
        <v>20</v>
      </c>
      <c r="K48" t="s">
        <v>21</v>
      </c>
      <c r="L48" s="6">
        <v>45308</v>
      </c>
    </row>
    <row r="49" spans="1:12" x14ac:dyDescent="0.75">
      <c r="A49" t="s">
        <v>149</v>
      </c>
      <c r="B49" t="s">
        <v>150</v>
      </c>
      <c r="C49" t="s">
        <v>14</v>
      </c>
      <c r="D49" t="s">
        <v>33</v>
      </c>
      <c r="E49" t="s">
        <v>34</v>
      </c>
      <c r="F49" t="s">
        <v>16</v>
      </c>
      <c r="G49" t="s">
        <v>35</v>
      </c>
      <c r="H49" t="s">
        <v>18</v>
      </c>
      <c r="I49" t="s">
        <v>19</v>
      </c>
      <c r="J49" t="s">
        <v>20</v>
      </c>
      <c r="K49" t="s">
        <v>21</v>
      </c>
      <c r="L49" s="6">
        <v>45513</v>
      </c>
    </row>
    <row r="50" spans="1:12" x14ac:dyDescent="0.75">
      <c r="A50" t="s">
        <v>151</v>
      </c>
      <c r="B50" t="s">
        <v>152</v>
      </c>
      <c r="C50" t="s">
        <v>32</v>
      </c>
      <c r="D50" t="s">
        <v>15</v>
      </c>
      <c r="E50" t="s">
        <v>15</v>
      </c>
      <c r="F50" t="s">
        <v>51</v>
      </c>
      <c r="G50" t="s">
        <v>35</v>
      </c>
      <c r="H50" t="s">
        <v>18</v>
      </c>
      <c r="I50" t="s">
        <v>19</v>
      </c>
      <c r="J50" t="s">
        <v>20</v>
      </c>
      <c r="K50" t="s">
        <v>21</v>
      </c>
      <c r="L50" s="6">
        <v>45573</v>
      </c>
    </row>
    <row r="51" spans="1:12" x14ac:dyDescent="0.75">
      <c r="A51" t="s">
        <v>153</v>
      </c>
      <c r="B51" t="s">
        <v>154</v>
      </c>
      <c r="C51" t="s">
        <v>14</v>
      </c>
      <c r="D51" t="s">
        <v>54</v>
      </c>
      <c r="E51" t="s">
        <v>55</v>
      </c>
      <c r="F51" t="s">
        <v>44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s="6">
        <v>44894</v>
      </c>
    </row>
    <row r="52" spans="1:12" x14ac:dyDescent="0.75">
      <c r="A52" t="s">
        <v>155</v>
      </c>
      <c r="B52" t="s">
        <v>156</v>
      </c>
      <c r="C52" t="s">
        <v>14</v>
      </c>
      <c r="D52" t="s">
        <v>136</v>
      </c>
      <c r="E52" t="s">
        <v>39</v>
      </c>
      <c r="F52" t="s">
        <v>51</v>
      </c>
      <c r="G52" t="s">
        <v>35</v>
      </c>
      <c r="H52" t="s">
        <v>18</v>
      </c>
      <c r="I52" t="s">
        <v>19</v>
      </c>
      <c r="J52" t="s">
        <v>20</v>
      </c>
      <c r="K52" t="s">
        <v>21</v>
      </c>
      <c r="L52" s="6">
        <v>45421</v>
      </c>
    </row>
    <row r="53" spans="1:12" x14ac:dyDescent="0.75">
      <c r="A53" t="s">
        <v>157</v>
      </c>
      <c r="B53" t="s">
        <v>158</v>
      </c>
      <c r="C53" t="s">
        <v>50</v>
      </c>
      <c r="D53" t="s">
        <v>33</v>
      </c>
      <c r="E53" t="s">
        <v>34</v>
      </c>
      <c r="F53" t="s">
        <v>16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s="6">
        <v>45824</v>
      </c>
    </row>
    <row r="54" spans="1:12" x14ac:dyDescent="0.75">
      <c r="A54" t="s">
        <v>159</v>
      </c>
      <c r="B54" t="s">
        <v>160</v>
      </c>
      <c r="C54" t="s">
        <v>50</v>
      </c>
      <c r="D54" t="s">
        <v>33</v>
      </c>
      <c r="E54" t="s">
        <v>34</v>
      </c>
      <c r="F54" t="s">
        <v>16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s="6">
        <v>45756</v>
      </c>
    </row>
    <row r="55" spans="1:12" x14ac:dyDescent="0.75">
      <c r="A55" t="s">
        <v>161</v>
      </c>
      <c r="B55" t="s">
        <v>162</v>
      </c>
      <c r="C55" t="s">
        <v>50</v>
      </c>
      <c r="D55" t="s">
        <v>33</v>
      </c>
      <c r="E55" t="s">
        <v>34</v>
      </c>
      <c r="F55" t="s">
        <v>16</v>
      </c>
      <c r="G55" t="s">
        <v>35</v>
      </c>
      <c r="H55" t="s">
        <v>18</v>
      </c>
      <c r="I55" t="s">
        <v>19</v>
      </c>
      <c r="J55" t="s">
        <v>20</v>
      </c>
      <c r="K55" t="s">
        <v>21</v>
      </c>
      <c r="L55" s="6">
        <v>45680</v>
      </c>
    </row>
    <row r="56" spans="1:12" x14ac:dyDescent="0.75">
      <c r="A56" t="s">
        <v>163</v>
      </c>
      <c r="B56" t="s">
        <v>164</v>
      </c>
      <c r="C56" t="s">
        <v>14</v>
      </c>
      <c r="D56" t="s">
        <v>33</v>
      </c>
      <c r="E56" t="s">
        <v>34</v>
      </c>
      <c r="F56" t="s">
        <v>44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s="6">
        <v>45277</v>
      </c>
    </row>
    <row r="57" spans="1:12" x14ac:dyDescent="0.75">
      <c r="A57" t="s">
        <v>165</v>
      </c>
      <c r="B57" t="s">
        <v>166</v>
      </c>
      <c r="C57" t="s">
        <v>14</v>
      </c>
      <c r="D57" t="s">
        <v>15</v>
      </c>
      <c r="E57" t="s">
        <v>15</v>
      </c>
      <c r="F57" t="s">
        <v>51</v>
      </c>
      <c r="G57" t="s">
        <v>35</v>
      </c>
      <c r="H57" t="s">
        <v>18</v>
      </c>
      <c r="I57" t="s">
        <v>19</v>
      </c>
      <c r="J57" t="s">
        <v>20</v>
      </c>
      <c r="K57" t="s">
        <v>21</v>
      </c>
      <c r="L57" s="6">
        <v>45804</v>
      </c>
    </row>
    <row r="58" spans="1:12" x14ac:dyDescent="0.75">
      <c r="A58" t="s">
        <v>167</v>
      </c>
      <c r="B58" t="s">
        <v>168</v>
      </c>
      <c r="C58" t="s">
        <v>64</v>
      </c>
      <c r="D58" t="s">
        <v>54</v>
      </c>
      <c r="E58" t="s">
        <v>55</v>
      </c>
      <c r="F58" t="s">
        <v>44</v>
      </c>
      <c r="G58" t="s">
        <v>17</v>
      </c>
      <c r="H58" t="s">
        <v>18</v>
      </c>
      <c r="I58" t="s">
        <v>19</v>
      </c>
      <c r="J58" t="s">
        <v>169</v>
      </c>
      <c r="K58" t="s">
        <v>21</v>
      </c>
      <c r="L58" s="6">
        <v>46270</v>
      </c>
    </row>
    <row r="59" spans="1:12" x14ac:dyDescent="0.75">
      <c r="A59" t="s">
        <v>170</v>
      </c>
      <c r="B59" t="s">
        <v>171</v>
      </c>
      <c r="C59" t="s">
        <v>50</v>
      </c>
      <c r="D59" t="s">
        <v>117</v>
      </c>
      <c r="E59" t="s">
        <v>118</v>
      </c>
      <c r="F59" t="s">
        <v>44</v>
      </c>
      <c r="G59" t="s">
        <v>17</v>
      </c>
      <c r="H59" t="s">
        <v>19</v>
      </c>
      <c r="I59" t="s">
        <v>19</v>
      </c>
      <c r="J59" t="s">
        <v>20</v>
      </c>
      <c r="K59" t="s">
        <v>21</v>
      </c>
      <c r="L59" s="6">
        <v>46118</v>
      </c>
    </row>
    <row r="60" spans="1:12" x14ac:dyDescent="0.75">
      <c r="A60" t="s">
        <v>172</v>
      </c>
      <c r="B60" t="s">
        <v>173</v>
      </c>
      <c r="C60" t="s">
        <v>47</v>
      </c>
      <c r="D60" t="s">
        <v>15</v>
      </c>
      <c r="E60" t="s">
        <v>15</v>
      </c>
      <c r="F60" t="s">
        <v>51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s="6">
        <v>44856</v>
      </c>
    </row>
    <row r="61" spans="1:12" x14ac:dyDescent="0.75">
      <c r="A61" t="s">
        <v>174</v>
      </c>
      <c r="B61" t="s">
        <v>175</v>
      </c>
      <c r="C61" t="s">
        <v>50</v>
      </c>
      <c r="D61" t="s">
        <v>33</v>
      </c>
      <c r="E61" t="s">
        <v>34</v>
      </c>
      <c r="F61" t="s">
        <v>51</v>
      </c>
      <c r="G61" t="s">
        <v>35</v>
      </c>
      <c r="H61" t="s">
        <v>18</v>
      </c>
      <c r="I61" t="s">
        <v>19</v>
      </c>
      <c r="J61" t="s">
        <v>20</v>
      </c>
      <c r="K61" t="s">
        <v>133</v>
      </c>
      <c r="L61" s="6">
        <v>46165</v>
      </c>
    </row>
    <row r="62" spans="1:12" x14ac:dyDescent="0.75">
      <c r="A62" t="s">
        <v>176</v>
      </c>
      <c r="B62" t="s">
        <v>177</v>
      </c>
      <c r="C62" t="s">
        <v>50</v>
      </c>
      <c r="D62" t="s">
        <v>15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s="6">
        <v>45696</v>
      </c>
    </row>
    <row r="63" spans="1:12" x14ac:dyDescent="0.75">
      <c r="A63" t="s">
        <v>178</v>
      </c>
      <c r="B63" t="s">
        <v>179</v>
      </c>
      <c r="C63" t="s">
        <v>50</v>
      </c>
      <c r="D63" t="s">
        <v>33</v>
      </c>
      <c r="E63" t="s">
        <v>34</v>
      </c>
      <c r="F63" t="s">
        <v>16</v>
      </c>
      <c r="G63" t="s">
        <v>35</v>
      </c>
      <c r="H63" t="s">
        <v>18</v>
      </c>
      <c r="I63" t="s">
        <v>19</v>
      </c>
      <c r="J63" t="s">
        <v>20</v>
      </c>
      <c r="K63" t="s">
        <v>21</v>
      </c>
      <c r="L63" s="6">
        <v>45787</v>
      </c>
    </row>
    <row r="64" spans="1:12" x14ac:dyDescent="0.75">
      <c r="A64" t="s">
        <v>180</v>
      </c>
      <c r="B64" t="s">
        <v>181</v>
      </c>
      <c r="C64" t="s">
        <v>50</v>
      </c>
      <c r="D64" t="s">
        <v>15</v>
      </c>
      <c r="E64" t="s">
        <v>15</v>
      </c>
      <c r="F64" t="s">
        <v>51</v>
      </c>
      <c r="G64" t="s">
        <v>35</v>
      </c>
      <c r="H64" t="s">
        <v>18</v>
      </c>
      <c r="I64" t="s">
        <v>19</v>
      </c>
      <c r="J64" t="s">
        <v>85</v>
      </c>
      <c r="K64" t="s">
        <v>21</v>
      </c>
      <c r="L64" s="6">
        <v>45640</v>
      </c>
    </row>
    <row r="65" spans="1:12" x14ac:dyDescent="0.75">
      <c r="A65" t="s">
        <v>182</v>
      </c>
      <c r="B65" t="s">
        <v>183</v>
      </c>
      <c r="C65" t="s">
        <v>64</v>
      </c>
      <c r="D65" t="s">
        <v>15</v>
      </c>
      <c r="E65" t="s">
        <v>15</v>
      </c>
      <c r="F65" t="s">
        <v>51</v>
      </c>
      <c r="G65" t="s">
        <v>17</v>
      </c>
      <c r="H65" t="s">
        <v>19</v>
      </c>
      <c r="I65" t="s">
        <v>19</v>
      </c>
      <c r="J65" t="s">
        <v>85</v>
      </c>
      <c r="K65" t="s">
        <v>21</v>
      </c>
      <c r="L65" s="6">
        <v>44997</v>
      </c>
    </row>
    <row r="66" spans="1:12" x14ac:dyDescent="0.75">
      <c r="A66" t="s">
        <v>184</v>
      </c>
      <c r="B66" t="s">
        <v>185</v>
      </c>
      <c r="C66" t="s">
        <v>64</v>
      </c>
      <c r="D66" t="s">
        <v>54</v>
      </c>
      <c r="E66" t="s">
        <v>55</v>
      </c>
      <c r="F66" t="s">
        <v>16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s="6">
        <v>45408</v>
      </c>
    </row>
    <row r="67" spans="1:12" x14ac:dyDescent="0.75">
      <c r="A67" t="s">
        <v>186</v>
      </c>
      <c r="B67" t="s">
        <v>187</v>
      </c>
      <c r="C67" t="s">
        <v>64</v>
      </c>
      <c r="D67" t="s">
        <v>15</v>
      </c>
      <c r="E67" t="s">
        <v>15</v>
      </c>
      <c r="F67" t="s">
        <v>51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s="6">
        <v>45235</v>
      </c>
    </row>
    <row r="68" spans="1:12" x14ac:dyDescent="0.75">
      <c r="A68" t="s">
        <v>188</v>
      </c>
      <c r="B68" t="s">
        <v>189</v>
      </c>
      <c r="C68" t="s">
        <v>50</v>
      </c>
      <c r="D68" t="s">
        <v>33</v>
      </c>
      <c r="E68" t="s">
        <v>34</v>
      </c>
      <c r="F68" t="s">
        <v>16</v>
      </c>
      <c r="G68" t="s">
        <v>35</v>
      </c>
      <c r="H68" t="s">
        <v>18</v>
      </c>
      <c r="I68" t="s">
        <v>19</v>
      </c>
      <c r="J68" t="s">
        <v>20</v>
      </c>
      <c r="K68" t="s">
        <v>21</v>
      </c>
      <c r="L68" s="6">
        <v>44906</v>
      </c>
    </row>
    <row r="69" spans="1:12" x14ac:dyDescent="0.75">
      <c r="A69" t="s">
        <v>190</v>
      </c>
      <c r="B69" t="s">
        <v>191</v>
      </c>
      <c r="C69" t="s">
        <v>50</v>
      </c>
      <c r="D69" t="s">
        <v>33</v>
      </c>
      <c r="E69" t="s">
        <v>34</v>
      </c>
      <c r="F69" t="s">
        <v>16</v>
      </c>
      <c r="G69" t="s">
        <v>35</v>
      </c>
      <c r="H69" t="s">
        <v>18</v>
      </c>
      <c r="I69" t="s">
        <v>19</v>
      </c>
      <c r="J69" t="s">
        <v>85</v>
      </c>
      <c r="K69" t="s">
        <v>21</v>
      </c>
      <c r="L69" s="6">
        <v>46247</v>
      </c>
    </row>
    <row r="70" spans="1:12" x14ac:dyDescent="0.75">
      <c r="A70" t="s">
        <v>192</v>
      </c>
      <c r="B70" t="s">
        <v>193</v>
      </c>
      <c r="C70" t="s">
        <v>50</v>
      </c>
      <c r="D70" t="s">
        <v>15</v>
      </c>
      <c r="E70" t="s">
        <v>15</v>
      </c>
      <c r="F70" t="s">
        <v>51</v>
      </c>
      <c r="G70" t="s">
        <v>35</v>
      </c>
      <c r="H70" t="s">
        <v>18</v>
      </c>
      <c r="I70" t="s">
        <v>19</v>
      </c>
      <c r="J70" t="s">
        <v>20</v>
      </c>
      <c r="K70" t="s">
        <v>21</v>
      </c>
      <c r="L70" s="6">
        <v>45788</v>
      </c>
    </row>
    <row r="71" spans="1:12" x14ac:dyDescent="0.75">
      <c r="A71" t="s">
        <v>194</v>
      </c>
      <c r="B71" t="s">
        <v>195</v>
      </c>
      <c r="C71" t="s">
        <v>47</v>
      </c>
      <c r="D71" t="s">
        <v>54</v>
      </c>
      <c r="E71" t="s">
        <v>55</v>
      </c>
      <c r="F71" t="s">
        <v>44</v>
      </c>
      <c r="G71" t="s">
        <v>35</v>
      </c>
      <c r="H71" t="s">
        <v>18</v>
      </c>
      <c r="I71" t="s">
        <v>19</v>
      </c>
      <c r="J71" t="s">
        <v>20</v>
      </c>
      <c r="K71" t="s">
        <v>21</v>
      </c>
      <c r="L71" s="6">
        <v>46078</v>
      </c>
    </row>
    <row r="72" spans="1:12" x14ac:dyDescent="0.75">
      <c r="A72" t="s">
        <v>196</v>
      </c>
      <c r="B72" t="s">
        <v>197</v>
      </c>
      <c r="C72" t="s">
        <v>14</v>
      </c>
      <c r="D72" t="s">
        <v>15</v>
      </c>
      <c r="E72" t="s">
        <v>15</v>
      </c>
      <c r="F72" t="s">
        <v>51</v>
      </c>
      <c r="G72" t="s">
        <v>17</v>
      </c>
      <c r="H72" t="s">
        <v>19</v>
      </c>
      <c r="I72" t="s">
        <v>19</v>
      </c>
      <c r="J72" t="s">
        <v>20</v>
      </c>
      <c r="K72" t="s">
        <v>21</v>
      </c>
      <c r="L72" s="6">
        <v>45164</v>
      </c>
    </row>
    <row r="73" spans="1:12" x14ac:dyDescent="0.75">
      <c r="A73" t="s">
        <v>198</v>
      </c>
      <c r="B73" t="s">
        <v>199</v>
      </c>
      <c r="C73" t="s">
        <v>14</v>
      </c>
      <c r="D73" t="s">
        <v>75</v>
      </c>
      <c r="E73" t="s">
        <v>55</v>
      </c>
      <c r="F73" t="s">
        <v>51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 s="6">
        <v>46215</v>
      </c>
    </row>
    <row r="74" spans="1:12" x14ac:dyDescent="0.75">
      <c r="A74" t="s">
        <v>200</v>
      </c>
      <c r="B74" t="s">
        <v>201</v>
      </c>
      <c r="C74" t="s">
        <v>47</v>
      </c>
      <c r="D74" t="s">
        <v>15</v>
      </c>
      <c r="E74" t="s">
        <v>15</v>
      </c>
      <c r="F74" t="s">
        <v>16</v>
      </c>
      <c r="G74" t="s">
        <v>35</v>
      </c>
      <c r="H74" t="s">
        <v>18</v>
      </c>
      <c r="I74" t="s">
        <v>19</v>
      </c>
      <c r="J74" t="s">
        <v>20</v>
      </c>
      <c r="K74" t="s">
        <v>21</v>
      </c>
    </row>
    <row r="75" spans="1:12" x14ac:dyDescent="0.75">
      <c r="A75" t="s">
        <v>202</v>
      </c>
      <c r="B75" t="s">
        <v>203</v>
      </c>
      <c r="C75" t="s">
        <v>50</v>
      </c>
      <c r="D75" t="s">
        <v>15</v>
      </c>
      <c r="E75" t="s">
        <v>15</v>
      </c>
      <c r="F75" t="s">
        <v>44</v>
      </c>
      <c r="G75" t="s">
        <v>35</v>
      </c>
      <c r="H75" t="s">
        <v>18</v>
      </c>
      <c r="I75" t="s">
        <v>19</v>
      </c>
      <c r="J75" t="s">
        <v>20</v>
      </c>
      <c r="K75" t="s">
        <v>21</v>
      </c>
      <c r="L75" s="6">
        <v>45044</v>
      </c>
    </row>
    <row r="76" spans="1:12" x14ac:dyDescent="0.75">
      <c r="A76" t="s">
        <v>204</v>
      </c>
      <c r="B76" t="s">
        <v>205</v>
      </c>
      <c r="C76" t="s">
        <v>32</v>
      </c>
      <c r="D76" t="s">
        <v>15</v>
      </c>
      <c r="E76" t="s">
        <v>15</v>
      </c>
      <c r="F76" t="s">
        <v>16</v>
      </c>
      <c r="G76" t="s">
        <v>35</v>
      </c>
      <c r="H76" t="s">
        <v>18</v>
      </c>
      <c r="I76" t="s">
        <v>19</v>
      </c>
      <c r="J76" t="s">
        <v>20</v>
      </c>
      <c r="K76" t="s">
        <v>21</v>
      </c>
      <c r="L76" s="6">
        <v>44988</v>
      </c>
    </row>
    <row r="77" spans="1:12" x14ac:dyDescent="0.75">
      <c r="A77" t="s">
        <v>206</v>
      </c>
      <c r="B77" t="s">
        <v>207</v>
      </c>
      <c r="C77" t="s">
        <v>14</v>
      </c>
      <c r="D77" t="s">
        <v>33</v>
      </c>
      <c r="E77" t="s">
        <v>34</v>
      </c>
      <c r="F77" t="s">
        <v>16</v>
      </c>
      <c r="G77" t="s">
        <v>35</v>
      </c>
      <c r="H77" t="s">
        <v>18</v>
      </c>
      <c r="I77" t="s">
        <v>19</v>
      </c>
      <c r="J77" t="s">
        <v>20</v>
      </c>
      <c r="K77" t="s">
        <v>21</v>
      </c>
      <c r="L77" s="6">
        <v>45357</v>
      </c>
    </row>
    <row r="78" spans="1:12" x14ac:dyDescent="0.75">
      <c r="A78" t="s">
        <v>208</v>
      </c>
      <c r="B78" t="s">
        <v>209</v>
      </c>
      <c r="C78" t="s">
        <v>32</v>
      </c>
      <c r="D78" t="s">
        <v>15</v>
      </c>
      <c r="E78" t="s">
        <v>15</v>
      </c>
      <c r="F78" t="s">
        <v>51</v>
      </c>
      <c r="G78" t="s">
        <v>35</v>
      </c>
      <c r="H78" t="s">
        <v>18</v>
      </c>
      <c r="I78" t="s">
        <v>19</v>
      </c>
      <c r="J78" t="s">
        <v>20</v>
      </c>
      <c r="K78" t="s">
        <v>21</v>
      </c>
      <c r="L78" s="6">
        <v>44964</v>
      </c>
    </row>
    <row r="79" spans="1:12" x14ac:dyDescent="0.75">
      <c r="A79" t="s">
        <v>210</v>
      </c>
      <c r="B79" t="s">
        <v>211</v>
      </c>
      <c r="C79" t="s">
        <v>47</v>
      </c>
      <c r="D79" t="s">
        <v>33</v>
      </c>
      <c r="E79" t="s">
        <v>34</v>
      </c>
      <c r="F79" t="s">
        <v>51</v>
      </c>
      <c r="G79" t="s">
        <v>35</v>
      </c>
      <c r="H79" t="s">
        <v>18</v>
      </c>
      <c r="I79" t="s">
        <v>19</v>
      </c>
      <c r="J79" t="s">
        <v>20</v>
      </c>
      <c r="K79" t="s">
        <v>21</v>
      </c>
      <c r="L79" s="6">
        <v>45690</v>
      </c>
    </row>
    <row r="80" spans="1:12" x14ac:dyDescent="0.75">
      <c r="A80" t="s">
        <v>212</v>
      </c>
      <c r="B80" t="s">
        <v>213</v>
      </c>
      <c r="C80" t="s">
        <v>47</v>
      </c>
      <c r="D80" t="s">
        <v>54</v>
      </c>
      <c r="E80" t="s">
        <v>55</v>
      </c>
      <c r="F80" t="s">
        <v>51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 s="6">
        <v>44847</v>
      </c>
    </row>
    <row r="81" spans="1:12" x14ac:dyDescent="0.75">
      <c r="A81" t="s">
        <v>214</v>
      </c>
      <c r="B81" t="s">
        <v>215</v>
      </c>
      <c r="C81" t="s">
        <v>14</v>
      </c>
      <c r="D81" t="s">
        <v>33</v>
      </c>
      <c r="E81" t="s">
        <v>34</v>
      </c>
      <c r="F81" t="s">
        <v>44</v>
      </c>
      <c r="G81" t="s">
        <v>17</v>
      </c>
      <c r="H81" t="s">
        <v>19</v>
      </c>
      <c r="I81" t="s">
        <v>18</v>
      </c>
      <c r="J81" t="s">
        <v>20</v>
      </c>
      <c r="K81" t="s">
        <v>21</v>
      </c>
      <c r="L81" s="6">
        <v>45017</v>
      </c>
    </row>
    <row r="82" spans="1:12" x14ac:dyDescent="0.75">
      <c r="A82" t="s">
        <v>216</v>
      </c>
      <c r="B82" t="s">
        <v>217</v>
      </c>
      <c r="C82" t="s">
        <v>47</v>
      </c>
      <c r="D82" t="s">
        <v>117</v>
      </c>
      <c r="E82" t="s">
        <v>118</v>
      </c>
      <c r="F82" t="s">
        <v>44</v>
      </c>
      <c r="G82" t="s">
        <v>35</v>
      </c>
      <c r="H82" t="s">
        <v>18</v>
      </c>
      <c r="I82" t="s">
        <v>19</v>
      </c>
      <c r="J82" t="s">
        <v>20</v>
      </c>
      <c r="K82" t="s">
        <v>21</v>
      </c>
      <c r="L82" s="6">
        <v>45239</v>
      </c>
    </row>
    <row r="83" spans="1:12" x14ac:dyDescent="0.75">
      <c r="A83" t="s">
        <v>218</v>
      </c>
      <c r="B83" t="s">
        <v>219</v>
      </c>
      <c r="C83" t="s">
        <v>64</v>
      </c>
      <c r="D83" t="s">
        <v>15</v>
      </c>
      <c r="E83" t="s">
        <v>15</v>
      </c>
      <c r="F83" t="s">
        <v>44</v>
      </c>
      <c r="G83" t="s">
        <v>17</v>
      </c>
      <c r="H83" t="s">
        <v>18</v>
      </c>
      <c r="I83" t="s">
        <v>19</v>
      </c>
      <c r="J83" t="s">
        <v>85</v>
      </c>
      <c r="K83" t="s">
        <v>21</v>
      </c>
      <c r="L83" s="6">
        <v>45163</v>
      </c>
    </row>
    <row r="84" spans="1:12" x14ac:dyDescent="0.75">
      <c r="A84" t="s">
        <v>220</v>
      </c>
      <c r="B84" t="s">
        <v>221</v>
      </c>
      <c r="C84" t="s">
        <v>14</v>
      </c>
      <c r="D84" t="s">
        <v>117</v>
      </c>
      <c r="E84" t="s">
        <v>118</v>
      </c>
      <c r="F84" t="s">
        <v>16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 s="6">
        <v>45340</v>
      </c>
    </row>
    <row r="85" spans="1:12" x14ac:dyDescent="0.75">
      <c r="A85" t="s">
        <v>222</v>
      </c>
      <c r="B85" t="s">
        <v>223</v>
      </c>
      <c r="C85" t="s">
        <v>14</v>
      </c>
      <c r="D85" t="s">
        <v>75</v>
      </c>
      <c r="E85" t="s">
        <v>55</v>
      </c>
      <c r="F85" t="s">
        <v>51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 s="6">
        <v>46184</v>
      </c>
    </row>
    <row r="86" spans="1:12" x14ac:dyDescent="0.75">
      <c r="A86" t="s">
        <v>224</v>
      </c>
      <c r="B86" t="s">
        <v>225</v>
      </c>
      <c r="C86" t="s">
        <v>50</v>
      </c>
      <c r="D86" t="s">
        <v>33</v>
      </c>
      <c r="E86" t="s">
        <v>34</v>
      </c>
      <c r="F86" t="s">
        <v>44</v>
      </c>
      <c r="G86" t="s">
        <v>35</v>
      </c>
      <c r="H86" t="s">
        <v>18</v>
      </c>
      <c r="I86" t="s">
        <v>19</v>
      </c>
      <c r="J86" t="s">
        <v>20</v>
      </c>
      <c r="K86" t="s">
        <v>21</v>
      </c>
      <c r="L86" s="6">
        <v>45804</v>
      </c>
    </row>
    <row r="87" spans="1:12" x14ac:dyDescent="0.75">
      <c r="A87" t="s">
        <v>226</v>
      </c>
      <c r="B87" t="s">
        <v>227</v>
      </c>
      <c r="C87" t="s">
        <v>50</v>
      </c>
      <c r="D87" t="s">
        <v>33</v>
      </c>
      <c r="E87" t="s">
        <v>34</v>
      </c>
      <c r="F87" t="s">
        <v>16</v>
      </c>
      <c r="G87" t="s">
        <v>35</v>
      </c>
      <c r="H87" t="s">
        <v>18</v>
      </c>
      <c r="I87" t="s">
        <v>18</v>
      </c>
      <c r="J87" t="s">
        <v>20</v>
      </c>
      <c r="K87" t="s">
        <v>21</v>
      </c>
      <c r="L87" s="6">
        <v>45882</v>
      </c>
    </row>
    <row r="88" spans="1:12" x14ac:dyDescent="0.75">
      <c r="A88" t="s">
        <v>228</v>
      </c>
      <c r="B88" t="s">
        <v>229</v>
      </c>
      <c r="C88" t="s">
        <v>47</v>
      </c>
      <c r="D88" t="s">
        <v>15</v>
      </c>
      <c r="E88" t="s">
        <v>15</v>
      </c>
      <c r="F88" t="s">
        <v>44</v>
      </c>
      <c r="G88" t="s">
        <v>35</v>
      </c>
      <c r="H88" t="s">
        <v>18</v>
      </c>
      <c r="I88" t="s">
        <v>19</v>
      </c>
      <c r="J88" t="s">
        <v>20</v>
      </c>
      <c r="K88" t="s">
        <v>21</v>
      </c>
      <c r="L88" s="6">
        <v>45842</v>
      </c>
    </row>
    <row r="89" spans="1:12" x14ac:dyDescent="0.75">
      <c r="A89" t="s">
        <v>230</v>
      </c>
      <c r="B89" t="s">
        <v>231</v>
      </c>
      <c r="C89" t="s">
        <v>47</v>
      </c>
      <c r="D89" t="s">
        <v>15</v>
      </c>
      <c r="E89" t="s">
        <v>15</v>
      </c>
      <c r="F89" t="s">
        <v>16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 s="6">
        <v>45769</v>
      </c>
    </row>
    <row r="90" spans="1:12" x14ac:dyDescent="0.75">
      <c r="A90" t="s">
        <v>232</v>
      </c>
      <c r="B90" t="s">
        <v>233</v>
      </c>
      <c r="C90" t="s">
        <v>50</v>
      </c>
      <c r="D90" t="s">
        <v>15</v>
      </c>
      <c r="E90" t="s">
        <v>15</v>
      </c>
      <c r="F90" t="s">
        <v>44</v>
      </c>
      <c r="G90" t="s">
        <v>35</v>
      </c>
      <c r="H90" t="s">
        <v>18</v>
      </c>
      <c r="I90" t="s">
        <v>18</v>
      </c>
      <c r="J90" t="s">
        <v>20</v>
      </c>
      <c r="K90" t="s">
        <v>21</v>
      </c>
      <c r="L90" s="6">
        <v>46226</v>
      </c>
    </row>
    <row r="91" spans="1:12" x14ac:dyDescent="0.75">
      <c r="A91" t="s">
        <v>234</v>
      </c>
      <c r="B91" t="s">
        <v>235</v>
      </c>
      <c r="C91" t="s">
        <v>50</v>
      </c>
      <c r="D91" t="s">
        <v>15</v>
      </c>
      <c r="E91" t="s">
        <v>15</v>
      </c>
      <c r="F91" t="s">
        <v>51</v>
      </c>
      <c r="G91" t="s">
        <v>35</v>
      </c>
      <c r="H91" t="s">
        <v>18</v>
      </c>
      <c r="I91" t="s">
        <v>19</v>
      </c>
      <c r="J91" t="s">
        <v>169</v>
      </c>
      <c r="K91" t="s">
        <v>21</v>
      </c>
      <c r="L91" s="6">
        <v>46245</v>
      </c>
    </row>
    <row r="92" spans="1:12" x14ac:dyDescent="0.75">
      <c r="A92" s="7" t="s">
        <v>236</v>
      </c>
      <c r="B92" s="7" t="s">
        <v>237</v>
      </c>
      <c r="C92" s="7" t="s">
        <v>50</v>
      </c>
      <c r="D92" s="7" t="s">
        <v>238</v>
      </c>
      <c r="E92" s="7" t="s">
        <v>59</v>
      </c>
      <c r="F92" s="7" t="s">
        <v>16</v>
      </c>
      <c r="G92" s="7" t="s">
        <v>35</v>
      </c>
      <c r="H92" s="7" t="s">
        <v>18</v>
      </c>
      <c r="I92" s="7" t="s">
        <v>19</v>
      </c>
      <c r="J92" s="7" t="s">
        <v>20</v>
      </c>
      <c r="K92" s="7" t="s">
        <v>21</v>
      </c>
      <c r="L92" s="8">
        <v>45512</v>
      </c>
    </row>
    <row r="93" spans="1:12" x14ac:dyDescent="0.75">
      <c r="A93" t="s">
        <v>239</v>
      </c>
      <c r="B93" t="s">
        <v>240</v>
      </c>
      <c r="C93" t="s">
        <v>50</v>
      </c>
      <c r="D93" t="s">
        <v>72</v>
      </c>
      <c r="E93" t="s">
        <v>39</v>
      </c>
      <c r="F93" t="s">
        <v>44</v>
      </c>
      <c r="G93" t="s">
        <v>35</v>
      </c>
      <c r="H93" t="s">
        <v>18</v>
      </c>
      <c r="I93" t="s">
        <v>19</v>
      </c>
      <c r="J93" t="s">
        <v>20</v>
      </c>
      <c r="K93" t="s">
        <v>21</v>
      </c>
    </row>
    <row r="94" spans="1:12" x14ac:dyDescent="0.75">
      <c r="A94" t="s">
        <v>241</v>
      </c>
      <c r="B94" t="s">
        <v>242</v>
      </c>
      <c r="C94" t="s">
        <v>47</v>
      </c>
      <c r="D94" t="s">
        <v>238</v>
      </c>
      <c r="E94" t="s">
        <v>59</v>
      </c>
      <c r="F94" t="s">
        <v>51</v>
      </c>
      <c r="G94" t="s">
        <v>35</v>
      </c>
      <c r="H94" t="s">
        <v>18</v>
      </c>
      <c r="I94" t="s">
        <v>19</v>
      </c>
      <c r="J94" t="s">
        <v>20</v>
      </c>
      <c r="K94" t="s">
        <v>21</v>
      </c>
      <c r="L94" s="6">
        <v>46089</v>
      </c>
    </row>
    <row r="95" spans="1:12" x14ac:dyDescent="0.75">
      <c r="A95" t="s">
        <v>243</v>
      </c>
      <c r="B95" t="s">
        <v>244</v>
      </c>
      <c r="C95" t="s">
        <v>50</v>
      </c>
      <c r="D95" t="s">
        <v>117</v>
      </c>
      <c r="E95" t="s">
        <v>118</v>
      </c>
      <c r="F95" t="s">
        <v>16</v>
      </c>
      <c r="G95" t="s">
        <v>35</v>
      </c>
      <c r="H95" t="s">
        <v>18</v>
      </c>
      <c r="I95" t="s">
        <v>19</v>
      </c>
      <c r="J95" t="s">
        <v>20</v>
      </c>
      <c r="K95" t="s">
        <v>21</v>
      </c>
      <c r="L95" s="6">
        <v>45585</v>
      </c>
    </row>
    <row r="96" spans="1:12" x14ac:dyDescent="0.75">
      <c r="A96" t="s">
        <v>245</v>
      </c>
      <c r="B96" t="s">
        <v>246</v>
      </c>
      <c r="C96" t="s">
        <v>50</v>
      </c>
      <c r="D96" t="s">
        <v>117</v>
      </c>
      <c r="E96" t="s">
        <v>118</v>
      </c>
      <c r="F96" t="s">
        <v>16</v>
      </c>
      <c r="G96" t="s">
        <v>35</v>
      </c>
      <c r="H96" t="s">
        <v>18</v>
      </c>
      <c r="I96" t="s">
        <v>18</v>
      </c>
      <c r="J96" t="s">
        <v>20</v>
      </c>
      <c r="K96" t="s">
        <v>21</v>
      </c>
      <c r="L96" s="6">
        <v>45376</v>
      </c>
    </row>
    <row r="97" spans="1:12" x14ac:dyDescent="0.75">
      <c r="A97" t="s">
        <v>247</v>
      </c>
      <c r="B97" t="s">
        <v>248</v>
      </c>
      <c r="C97" t="s">
        <v>64</v>
      </c>
      <c r="D97" t="s">
        <v>75</v>
      </c>
      <c r="E97" t="s">
        <v>55</v>
      </c>
      <c r="F97" t="s">
        <v>16</v>
      </c>
      <c r="G97" t="s">
        <v>17</v>
      </c>
      <c r="H97" t="s">
        <v>18</v>
      </c>
      <c r="I97" t="s">
        <v>19</v>
      </c>
      <c r="J97" t="s">
        <v>20</v>
      </c>
      <c r="K97" t="s">
        <v>133</v>
      </c>
      <c r="L97" s="6">
        <v>44886</v>
      </c>
    </row>
    <row r="98" spans="1:12" x14ac:dyDescent="0.75">
      <c r="A98" t="s">
        <v>249</v>
      </c>
      <c r="B98" t="s">
        <v>250</v>
      </c>
      <c r="C98" t="s">
        <v>50</v>
      </c>
      <c r="D98" t="s">
        <v>33</v>
      </c>
      <c r="E98" t="s">
        <v>34</v>
      </c>
      <c r="F98" t="s">
        <v>51</v>
      </c>
      <c r="G98" t="s">
        <v>17</v>
      </c>
      <c r="H98" t="s">
        <v>18</v>
      </c>
      <c r="I98" t="s">
        <v>19</v>
      </c>
      <c r="J98" t="s">
        <v>20</v>
      </c>
      <c r="K98" t="s">
        <v>21</v>
      </c>
      <c r="L98" s="6">
        <v>45873</v>
      </c>
    </row>
    <row r="99" spans="1:12" x14ac:dyDescent="0.75">
      <c r="A99" t="s">
        <v>251</v>
      </c>
      <c r="B99" t="s">
        <v>252</v>
      </c>
      <c r="C99" t="s">
        <v>32</v>
      </c>
      <c r="D99" t="s">
        <v>117</v>
      </c>
      <c r="E99" t="s">
        <v>118</v>
      </c>
      <c r="F99" t="s">
        <v>16</v>
      </c>
      <c r="G99" t="s">
        <v>35</v>
      </c>
      <c r="H99" t="s">
        <v>18</v>
      </c>
      <c r="I99" t="s">
        <v>19</v>
      </c>
      <c r="J99" t="s">
        <v>20</v>
      </c>
      <c r="K99" t="s">
        <v>21</v>
      </c>
      <c r="L99" s="6">
        <v>45729</v>
      </c>
    </row>
    <row r="100" spans="1:12" x14ac:dyDescent="0.75">
      <c r="A100" t="s">
        <v>253</v>
      </c>
      <c r="B100" t="s">
        <v>254</v>
      </c>
      <c r="C100" t="s">
        <v>50</v>
      </c>
      <c r="D100" t="s">
        <v>72</v>
      </c>
      <c r="E100" t="s">
        <v>39</v>
      </c>
      <c r="F100" t="s">
        <v>44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 s="6">
        <v>46258</v>
      </c>
    </row>
    <row r="101" spans="1:12" x14ac:dyDescent="0.75">
      <c r="A101" t="s">
        <v>255</v>
      </c>
      <c r="B101" t="s">
        <v>256</v>
      </c>
      <c r="C101" t="s">
        <v>64</v>
      </c>
      <c r="D101" t="s">
        <v>54</v>
      </c>
      <c r="E101" t="s">
        <v>55</v>
      </c>
      <c r="F101" t="s">
        <v>16</v>
      </c>
      <c r="G101" t="s">
        <v>17</v>
      </c>
      <c r="H101" t="s">
        <v>18</v>
      </c>
      <c r="I101" t="s">
        <v>19</v>
      </c>
      <c r="J101" t="s">
        <v>20</v>
      </c>
      <c r="K101" t="s">
        <v>21</v>
      </c>
      <c r="L101" s="6">
        <v>45318</v>
      </c>
    </row>
    <row r="102" spans="1:12" x14ac:dyDescent="0.75">
      <c r="A102" t="s">
        <v>257</v>
      </c>
      <c r="B102" t="s">
        <v>258</v>
      </c>
      <c r="C102" t="s">
        <v>64</v>
      </c>
      <c r="D102" t="s">
        <v>130</v>
      </c>
      <c r="E102" t="s">
        <v>59</v>
      </c>
      <c r="F102" t="s">
        <v>44</v>
      </c>
      <c r="G102" t="s">
        <v>17</v>
      </c>
      <c r="H102" t="s">
        <v>18</v>
      </c>
      <c r="I102" t="s">
        <v>19</v>
      </c>
      <c r="J102" t="s">
        <v>20</v>
      </c>
      <c r="K102" t="s">
        <v>21</v>
      </c>
      <c r="L102" s="6">
        <v>46197</v>
      </c>
    </row>
    <row r="103" spans="1:12" x14ac:dyDescent="0.75">
      <c r="A103" t="s">
        <v>259</v>
      </c>
      <c r="B103" t="s">
        <v>260</v>
      </c>
      <c r="C103" t="s">
        <v>14</v>
      </c>
      <c r="D103" t="s">
        <v>58</v>
      </c>
      <c r="E103" t="s">
        <v>59</v>
      </c>
      <c r="F103" t="s">
        <v>51</v>
      </c>
      <c r="G103" t="s">
        <v>17</v>
      </c>
      <c r="H103" t="s">
        <v>18</v>
      </c>
      <c r="I103" t="s">
        <v>19</v>
      </c>
      <c r="J103" t="s">
        <v>20</v>
      </c>
      <c r="K103" t="s">
        <v>21</v>
      </c>
      <c r="L103" s="6">
        <v>44994</v>
      </c>
    </row>
    <row r="104" spans="1:12" x14ac:dyDescent="0.75">
      <c r="A104" t="s">
        <v>261</v>
      </c>
      <c r="B104" t="s">
        <v>262</v>
      </c>
      <c r="C104" t="s">
        <v>50</v>
      </c>
      <c r="D104" t="s">
        <v>117</v>
      </c>
      <c r="E104" t="s">
        <v>118</v>
      </c>
      <c r="F104" t="s">
        <v>16</v>
      </c>
      <c r="G104" t="s">
        <v>17</v>
      </c>
      <c r="H104" t="s">
        <v>18</v>
      </c>
      <c r="I104" t="s">
        <v>19</v>
      </c>
      <c r="J104" t="s">
        <v>20</v>
      </c>
      <c r="K104" t="s">
        <v>133</v>
      </c>
      <c r="L104" s="6">
        <v>46253</v>
      </c>
    </row>
    <row r="105" spans="1:12" x14ac:dyDescent="0.75">
      <c r="A105" t="s">
        <v>263</v>
      </c>
      <c r="B105" t="s">
        <v>264</v>
      </c>
      <c r="C105" t="s">
        <v>47</v>
      </c>
      <c r="D105" t="s">
        <v>117</v>
      </c>
      <c r="E105" t="s">
        <v>118</v>
      </c>
      <c r="F105" t="s">
        <v>44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</row>
    <row r="106" spans="1:12" x14ac:dyDescent="0.75">
      <c r="A106" t="s">
        <v>265</v>
      </c>
      <c r="B106" t="s">
        <v>266</v>
      </c>
      <c r="C106" t="s">
        <v>50</v>
      </c>
      <c r="D106" t="s">
        <v>58</v>
      </c>
      <c r="E106" t="s">
        <v>59</v>
      </c>
      <c r="F106" t="s">
        <v>44</v>
      </c>
      <c r="G106" t="s">
        <v>17</v>
      </c>
      <c r="H106" t="s">
        <v>19</v>
      </c>
      <c r="I106" t="s">
        <v>19</v>
      </c>
      <c r="J106" t="s">
        <v>20</v>
      </c>
      <c r="K106" t="s">
        <v>21</v>
      </c>
      <c r="L106" s="6">
        <v>46128</v>
      </c>
    </row>
    <row r="107" spans="1:12" x14ac:dyDescent="0.75">
      <c r="A107" t="s">
        <v>267</v>
      </c>
      <c r="B107" t="s">
        <v>268</v>
      </c>
      <c r="C107" t="s">
        <v>50</v>
      </c>
      <c r="D107" t="s">
        <v>117</v>
      </c>
      <c r="E107" t="s">
        <v>118</v>
      </c>
      <c r="F107" t="s">
        <v>16</v>
      </c>
      <c r="G107" t="s">
        <v>17</v>
      </c>
      <c r="H107" t="s">
        <v>18</v>
      </c>
      <c r="I107" t="s">
        <v>19</v>
      </c>
      <c r="J107" t="s">
        <v>20</v>
      </c>
      <c r="K107" t="s">
        <v>21</v>
      </c>
      <c r="L107" s="6">
        <v>45588</v>
      </c>
    </row>
    <row r="108" spans="1:12" x14ac:dyDescent="0.75">
      <c r="A108" t="s">
        <v>269</v>
      </c>
      <c r="B108" t="s">
        <v>270</v>
      </c>
      <c r="C108" t="s">
        <v>32</v>
      </c>
      <c r="D108" t="s">
        <v>58</v>
      </c>
      <c r="E108" t="s">
        <v>59</v>
      </c>
      <c r="F108" t="s">
        <v>16</v>
      </c>
      <c r="G108" t="s">
        <v>35</v>
      </c>
      <c r="H108" t="s">
        <v>18</v>
      </c>
      <c r="I108" t="s">
        <v>19</v>
      </c>
      <c r="J108" t="s">
        <v>20</v>
      </c>
      <c r="K108" t="s">
        <v>21</v>
      </c>
      <c r="L108" s="6">
        <v>45994</v>
      </c>
    </row>
    <row r="109" spans="1:12" x14ac:dyDescent="0.75">
      <c r="A109" t="s">
        <v>271</v>
      </c>
      <c r="B109" t="s">
        <v>272</v>
      </c>
      <c r="C109" t="s">
        <v>14</v>
      </c>
      <c r="D109" t="s">
        <v>15</v>
      </c>
      <c r="E109" t="s">
        <v>15</v>
      </c>
      <c r="F109" t="s">
        <v>51</v>
      </c>
      <c r="G109" t="s">
        <v>17</v>
      </c>
      <c r="H109" t="s">
        <v>18</v>
      </c>
      <c r="I109" t="s">
        <v>19</v>
      </c>
      <c r="J109" t="s">
        <v>169</v>
      </c>
      <c r="K109" t="s">
        <v>133</v>
      </c>
      <c r="L109" s="6">
        <v>45841</v>
      </c>
    </row>
    <row r="110" spans="1:12" x14ac:dyDescent="0.75">
      <c r="A110" t="s">
        <v>273</v>
      </c>
      <c r="B110" t="s">
        <v>274</v>
      </c>
      <c r="C110" t="s">
        <v>50</v>
      </c>
      <c r="D110" t="s">
        <v>78</v>
      </c>
      <c r="E110" t="s">
        <v>39</v>
      </c>
      <c r="F110" t="s">
        <v>16</v>
      </c>
      <c r="G110" t="s">
        <v>35</v>
      </c>
      <c r="H110" t="s">
        <v>18</v>
      </c>
      <c r="I110" t="s">
        <v>19</v>
      </c>
      <c r="J110" t="s">
        <v>85</v>
      </c>
      <c r="K110" t="s">
        <v>21</v>
      </c>
      <c r="L110" s="6">
        <v>46267</v>
      </c>
    </row>
    <row r="111" spans="1:12" x14ac:dyDescent="0.75">
      <c r="A111" t="s">
        <v>275</v>
      </c>
      <c r="B111" t="s">
        <v>276</v>
      </c>
      <c r="C111" t="s">
        <v>50</v>
      </c>
      <c r="D111" t="s">
        <v>15</v>
      </c>
      <c r="E111" t="s">
        <v>15</v>
      </c>
      <c r="F111" t="s">
        <v>16</v>
      </c>
      <c r="G111" t="s">
        <v>35</v>
      </c>
      <c r="H111" t="s">
        <v>18</v>
      </c>
      <c r="I111" t="s">
        <v>19</v>
      </c>
      <c r="J111" t="s">
        <v>20</v>
      </c>
      <c r="K111" t="s">
        <v>21</v>
      </c>
      <c r="L111" s="6">
        <v>45643</v>
      </c>
    </row>
    <row r="112" spans="1:12" x14ac:dyDescent="0.75">
      <c r="A112" t="s">
        <v>277</v>
      </c>
      <c r="B112" t="s">
        <v>278</v>
      </c>
      <c r="C112" t="s">
        <v>14</v>
      </c>
      <c r="D112" t="s">
        <v>238</v>
      </c>
      <c r="E112" t="s">
        <v>59</v>
      </c>
      <c r="F112" t="s">
        <v>44</v>
      </c>
      <c r="G112" t="s">
        <v>17</v>
      </c>
      <c r="H112" t="s">
        <v>18</v>
      </c>
      <c r="I112" t="s">
        <v>19</v>
      </c>
      <c r="J112" t="s">
        <v>20</v>
      </c>
      <c r="K112" t="s">
        <v>21</v>
      </c>
      <c r="L112" s="6">
        <v>45313</v>
      </c>
    </row>
    <row r="113" spans="1:12" x14ac:dyDescent="0.75">
      <c r="A113" t="s">
        <v>279</v>
      </c>
      <c r="B113" t="s">
        <v>280</v>
      </c>
      <c r="C113" t="s">
        <v>14</v>
      </c>
      <c r="D113" t="s">
        <v>75</v>
      </c>
      <c r="E113" t="s">
        <v>55</v>
      </c>
      <c r="F113" t="s">
        <v>51</v>
      </c>
      <c r="G113" t="s">
        <v>17</v>
      </c>
      <c r="H113" t="s">
        <v>18</v>
      </c>
      <c r="I113" t="s">
        <v>19</v>
      </c>
      <c r="J113" t="s">
        <v>20</v>
      </c>
      <c r="K113" t="s">
        <v>21</v>
      </c>
      <c r="L113" s="6">
        <v>45182</v>
      </c>
    </row>
    <row r="114" spans="1:12" x14ac:dyDescent="0.75">
      <c r="A114" t="s">
        <v>281</v>
      </c>
      <c r="B114" t="s">
        <v>282</v>
      </c>
      <c r="C114" t="s">
        <v>14</v>
      </c>
      <c r="D114" t="s">
        <v>33</v>
      </c>
      <c r="E114" t="s">
        <v>34</v>
      </c>
      <c r="F114" t="s">
        <v>44</v>
      </c>
      <c r="G114" t="s">
        <v>35</v>
      </c>
      <c r="H114" t="s">
        <v>18</v>
      </c>
      <c r="I114" t="s">
        <v>19</v>
      </c>
      <c r="J114" t="s">
        <v>20</v>
      </c>
      <c r="K114" t="s">
        <v>21</v>
      </c>
      <c r="L114" s="6">
        <v>46099</v>
      </c>
    </row>
    <row r="115" spans="1:12" x14ac:dyDescent="0.75">
      <c r="A115" t="s">
        <v>283</v>
      </c>
      <c r="B115" t="s">
        <v>284</v>
      </c>
      <c r="C115" t="s">
        <v>64</v>
      </c>
      <c r="D115" t="s">
        <v>15</v>
      </c>
      <c r="E115" t="s">
        <v>15</v>
      </c>
      <c r="F115" t="s">
        <v>16</v>
      </c>
      <c r="G115" t="s">
        <v>17</v>
      </c>
      <c r="H115" t="s">
        <v>18</v>
      </c>
      <c r="I115" t="s">
        <v>19</v>
      </c>
      <c r="J115" t="s">
        <v>169</v>
      </c>
      <c r="K115" t="s">
        <v>21</v>
      </c>
      <c r="L115" s="6">
        <v>46182</v>
      </c>
    </row>
    <row r="116" spans="1:12" x14ac:dyDescent="0.75">
      <c r="A116" t="s">
        <v>285</v>
      </c>
      <c r="B116" t="s">
        <v>286</v>
      </c>
      <c r="C116" t="s">
        <v>50</v>
      </c>
      <c r="D116" t="s">
        <v>15</v>
      </c>
      <c r="E116" t="s">
        <v>15</v>
      </c>
      <c r="F116" t="s">
        <v>16</v>
      </c>
      <c r="G116" t="s">
        <v>35</v>
      </c>
      <c r="H116" t="s">
        <v>18</v>
      </c>
      <c r="I116" t="s">
        <v>19</v>
      </c>
      <c r="J116" t="s">
        <v>20</v>
      </c>
      <c r="K116" t="s">
        <v>21</v>
      </c>
      <c r="L116" s="6">
        <v>45630</v>
      </c>
    </row>
    <row r="117" spans="1:12" x14ac:dyDescent="0.75">
      <c r="A117" t="s">
        <v>287</v>
      </c>
      <c r="B117" t="s">
        <v>288</v>
      </c>
      <c r="C117" t="s">
        <v>14</v>
      </c>
      <c r="D117" t="s">
        <v>33</v>
      </c>
      <c r="E117" t="s">
        <v>34</v>
      </c>
      <c r="F117" t="s">
        <v>44</v>
      </c>
      <c r="G117" t="s">
        <v>17</v>
      </c>
      <c r="H117" t="s">
        <v>19</v>
      </c>
      <c r="I117" t="s">
        <v>19</v>
      </c>
      <c r="J117" t="s">
        <v>20</v>
      </c>
      <c r="K117" t="s">
        <v>21</v>
      </c>
      <c r="L117" s="6">
        <v>45715</v>
      </c>
    </row>
    <row r="118" spans="1:12" x14ac:dyDescent="0.75">
      <c r="A118" t="s">
        <v>289</v>
      </c>
      <c r="B118" t="s">
        <v>290</v>
      </c>
      <c r="C118" t="s">
        <v>47</v>
      </c>
      <c r="D118" t="s">
        <v>94</v>
      </c>
      <c r="E118" t="s">
        <v>39</v>
      </c>
      <c r="F118" t="s">
        <v>16</v>
      </c>
      <c r="G118" t="s">
        <v>35</v>
      </c>
      <c r="H118" t="s">
        <v>18</v>
      </c>
      <c r="I118" t="s">
        <v>19</v>
      </c>
      <c r="J118" t="s">
        <v>20</v>
      </c>
      <c r="K118" t="s">
        <v>21</v>
      </c>
      <c r="L118" s="6">
        <v>45206</v>
      </c>
    </row>
    <row r="119" spans="1:12" x14ac:dyDescent="0.75">
      <c r="A119" t="s">
        <v>291</v>
      </c>
      <c r="B119" t="s">
        <v>292</v>
      </c>
      <c r="C119" t="s">
        <v>14</v>
      </c>
      <c r="D119" t="s">
        <v>117</v>
      </c>
      <c r="E119" t="s">
        <v>118</v>
      </c>
      <c r="F119" t="s">
        <v>51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 s="6">
        <v>44875</v>
      </c>
    </row>
    <row r="120" spans="1:12" x14ac:dyDescent="0.75">
      <c r="A120" t="s">
        <v>293</v>
      </c>
      <c r="B120" t="s">
        <v>294</v>
      </c>
      <c r="C120" t="s">
        <v>14</v>
      </c>
      <c r="D120" t="s">
        <v>117</v>
      </c>
      <c r="E120" t="s">
        <v>118</v>
      </c>
      <c r="F120" t="s">
        <v>51</v>
      </c>
      <c r="G120" t="s">
        <v>35</v>
      </c>
      <c r="H120" t="s">
        <v>18</v>
      </c>
      <c r="I120" t="s">
        <v>19</v>
      </c>
      <c r="J120" t="s">
        <v>169</v>
      </c>
      <c r="K120" t="s">
        <v>21</v>
      </c>
      <c r="L120" s="6">
        <v>45164</v>
      </c>
    </row>
    <row r="121" spans="1:12" x14ac:dyDescent="0.75">
      <c r="A121" s="7" t="s">
        <v>295</v>
      </c>
      <c r="B121" s="7" t="s">
        <v>296</v>
      </c>
      <c r="C121" s="7" t="s">
        <v>14</v>
      </c>
      <c r="D121" s="7" t="s">
        <v>297</v>
      </c>
      <c r="E121" s="7" t="s">
        <v>39</v>
      </c>
      <c r="F121" s="7" t="s">
        <v>51</v>
      </c>
      <c r="G121" s="7" t="s">
        <v>17</v>
      </c>
      <c r="H121" s="7" t="s">
        <v>18</v>
      </c>
      <c r="I121" s="7" t="s">
        <v>19</v>
      </c>
      <c r="J121" s="7" t="s">
        <v>20</v>
      </c>
      <c r="K121" s="7" t="s">
        <v>21</v>
      </c>
      <c r="L121" s="8">
        <v>45675</v>
      </c>
    </row>
    <row r="122" spans="1:12" x14ac:dyDescent="0.75">
      <c r="A122" t="s">
        <v>298</v>
      </c>
      <c r="B122" t="s">
        <v>299</v>
      </c>
      <c r="C122" t="s">
        <v>50</v>
      </c>
      <c r="D122" t="s">
        <v>72</v>
      </c>
      <c r="E122" t="s">
        <v>39</v>
      </c>
      <c r="F122" t="s">
        <v>16</v>
      </c>
      <c r="G122" t="s">
        <v>35</v>
      </c>
      <c r="H122" t="s">
        <v>18</v>
      </c>
      <c r="I122" t="s">
        <v>19</v>
      </c>
      <c r="J122" t="s">
        <v>169</v>
      </c>
      <c r="K122" t="s">
        <v>21</v>
      </c>
      <c r="L122" s="6">
        <v>45396</v>
      </c>
    </row>
    <row r="123" spans="1:12" x14ac:dyDescent="0.75">
      <c r="A123" t="s">
        <v>300</v>
      </c>
      <c r="B123" t="s">
        <v>301</v>
      </c>
      <c r="C123" t="s">
        <v>50</v>
      </c>
      <c r="D123" t="s">
        <v>33</v>
      </c>
      <c r="E123" t="s">
        <v>34</v>
      </c>
      <c r="F123" t="s">
        <v>51</v>
      </c>
      <c r="G123" t="s">
        <v>35</v>
      </c>
      <c r="I123" t="s">
        <v>19</v>
      </c>
      <c r="J123" t="s">
        <v>20</v>
      </c>
      <c r="K123" t="s">
        <v>21</v>
      </c>
      <c r="L123" s="6">
        <v>45914</v>
      </c>
    </row>
    <row r="124" spans="1:12" ht="16.75" customHeight="1" x14ac:dyDescent="0.75">
      <c r="A124" t="s">
        <v>302</v>
      </c>
      <c r="B124" t="s">
        <v>303</v>
      </c>
      <c r="C124" t="s">
        <v>14</v>
      </c>
      <c r="D124" t="s">
        <v>54</v>
      </c>
      <c r="E124" t="s">
        <v>55</v>
      </c>
      <c r="F124" t="s">
        <v>44</v>
      </c>
      <c r="G124" t="s">
        <v>17</v>
      </c>
      <c r="H124" t="s">
        <v>18</v>
      </c>
      <c r="I124" t="s">
        <v>19</v>
      </c>
      <c r="J124" t="s">
        <v>20</v>
      </c>
      <c r="K124" t="s">
        <v>21</v>
      </c>
      <c r="L124" s="6">
        <v>45681</v>
      </c>
    </row>
    <row r="125" spans="1:12" ht="12.5" customHeight="1" x14ac:dyDescent="0.75">
      <c r="A125" t="s">
        <v>304</v>
      </c>
      <c r="B125" t="s">
        <v>305</v>
      </c>
      <c r="C125" t="s">
        <v>47</v>
      </c>
      <c r="D125" t="s">
        <v>33</v>
      </c>
      <c r="E125" t="s">
        <v>34</v>
      </c>
      <c r="F125" t="s">
        <v>51</v>
      </c>
      <c r="G125" t="s">
        <v>35</v>
      </c>
      <c r="H125" t="s">
        <v>18</v>
      </c>
      <c r="I125" t="s">
        <v>19</v>
      </c>
      <c r="J125" t="s">
        <v>20</v>
      </c>
      <c r="K125" t="s">
        <v>21</v>
      </c>
      <c r="L125" s="6">
        <v>45707</v>
      </c>
    </row>
    <row r="126" spans="1:12" ht="14.75" customHeight="1" x14ac:dyDescent="0.75">
      <c r="A126" t="s">
        <v>306</v>
      </c>
      <c r="B126" t="s">
        <v>307</v>
      </c>
      <c r="C126" t="s">
        <v>50</v>
      </c>
      <c r="D126" t="s">
        <v>117</v>
      </c>
      <c r="E126" t="s">
        <v>118</v>
      </c>
      <c r="F126" t="s">
        <v>16</v>
      </c>
      <c r="G126" t="s">
        <v>35</v>
      </c>
      <c r="H126" t="s">
        <v>18</v>
      </c>
      <c r="I126" t="s">
        <v>19</v>
      </c>
      <c r="J126" t="s">
        <v>20</v>
      </c>
      <c r="K126" t="s">
        <v>21</v>
      </c>
      <c r="L126" s="6">
        <v>45577</v>
      </c>
    </row>
    <row r="127" spans="1:12" x14ac:dyDescent="0.75">
      <c r="A127" t="s">
        <v>308</v>
      </c>
      <c r="B127" t="s">
        <v>309</v>
      </c>
      <c r="C127" t="s">
        <v>32</v>
      </c>
      <c r="D127" t="s">
        <v>15</v>
      </c>
      <c r="E127" t="s">
        <v>15</v>
      </c>
      <c r="F127" t="s">
        <v>51</v>
      </c>
      <c r="G127" t="s">
        <v>35</v>
      </c>
      <c r="H127" t="s">
        <v>18</v>
      </c>
      <c r="I127" t="s">
        <v>19</v>
      </c>
      <c r="J127" t="s">
        <v>20</v>
      </c>
      <c r="K127" t="s">
        <v>21</v>
      </c>
      <c r="L127" s="6">
        <v>44865</v>
      </c>
    </row>
    <row r="128" spans="1:12" x14ac:dyDescent="0.75">
      <c r="A128" t="s">
        <v>310</v>
      </c>
      <c r="B128" t="s">
        <v>311</v>
      </c>
      <c r="C128" t="s">
        <v>64</v>
      </c>
      <c r="D128" t="s">
        <v>117</v>
      </c>
      <c r="E128" t="s">
        <v>118</v>
      </c>
      <c r="F128" t="s">
        <v>16</v>
      </c>
      <c r="G128" t="s">
        <v>17</v>
      </c>
      <c r="H128" t="s">
        <v>19</v>
      </c>
      <c r="I128" t="s">
        <v>19</v>
      </c>
      <c r="J128" t="s">
        <v>20</v>
      </c>
      <c r="K128" t="s">
        <v>21</v>
      </c>
      <c r="L128" s="6">
        <v>45147</v>
      </c>
    </row>
    <row r="129" spans="1:12" x14ac:dyDescent="0.75">
      <c r="A129" t="s">
        <v>312</v>
      </c>
      <c r="B129" t="s">
        <v>313</v>
      </c>
      <c r="C129" t="s">
        <v>47</v>
      </c>
      <c r="D129" t="s">
        <v>15</v>
      </c>
      <c r="E129" t="s">
        <v>15</v>
      </c>
      <c r="F129" t="s">
        <v>44</v>
      </c>
      <c r="G129" t="s">
        <v>35</v>
      </c>
      <c r="H129" t="s">
        <v>18</v>
      </c>
      <c r="I129" t="s">
        <v>19</v>
      </c>
      <c r="J129" t="s">
        <v>20</v>
      </c>
      <c r="K129" t="s">
        <v>21</v>
      </c>
      <c r="L129" s="6">
        <v>45443</v>
      </c>
    </row>
    <row r="130" spans="1:12" x14ac:dyDescent="0.75">
      <c r="A130" t="s">
        <v>314</v>
      </c>
      <c r="B130" t="s">
        <v>315</v>
      </c>
      <c r="C130" t="s">
        <v>14</v>
      </c>
      <c r="D130" t="s">
        <v>15</v>
      </c>
      <c r="E130" t="s">
        <v>15</v>
      </c>
      <c r="F130" t="s">
        <v>16</v>
      </c>
      <c r="G130" t="s">
        <v>35</v>
      </c>
      <c r="H130" t="s">
        <v>18</v>
      </c>
      <c r="I130" t="s">
        <v>19</v>
      </c>
      <c r="J130" t="s">
        <v>20</v>
      </c>
      <c r="K130" t="s">
        <v>21</v>
      </c>
      <c r="L130" s="6">
        <v>45791</v>
      </c>
    </row>
    <row r="131" spans="1:12" x14ac:dyDescent="0.75">
      <c r="A131" t="s">
        <v>316</v>
      </c>
      <c r="B131" t="s">
        <v>317</v>
      </c>
      <c r="C131" t="s">
        <v>50</v>
      </c>
      <c r="D131" t="s">
        <v>58</v>
      </c>
      <c r="E131" t="s">
        <v>59</v>
      </c>
      <c r="F131" t="s">
        <v>51</v>
      </c>
      <c r="G131" t="s">
        <v>35</v>
      </c>
      <c r="H131" t="s">
        <v>18</v>
      </c>
      <c r="I131" t="s">
        <v>19</v>
      </c>
      <c r="J131" t="s">
        <v>20</v>
      </c>
      <c r="K131" t="s">
        <v>21</v>
      </c>
      <c r="L131" s="6">
        <v>45442</v>
      </c>
    </row>
    <row r="132" spans="1:12" x14ac:dyDescent="0.75">
      <c r="A132" t="s">
        <v>318</v>
      </c>
      <c r="B132" t="s">
        <v>319</v>
      </c>
      <c r="C132" t="s">
        <v>14</v>
      </c>
      <c r="D132" t="s">
        <v>38</v>
      </c>
      <c r="E132" t="s">
        <v>59</v>
      </c>
      <c r="F132" t="s">
        <v>44</v>
      </c>
      <c r="G132" t="s">
        <v>35</v>
      </c>
      <c r="H132" t="s">
        <v>18</v>
      </c>
      <c r="I132" t="s">
        <v>18</v>
      </c>
      <c r="J132" t="s">
        <v>20</v>
      </c>
      <c r="K132" t="s">
        <v>21</v>
      </c>
      <c r="L132" s="6">
        <v>45511</v>
      </c>
    </row>
    <row r="133" spans="1:12" x14ac:dyDescent="0.75">
      <c r="A133" t="s">
        <v>320</v>
      </c>
      <c r="B133" t="s">
        <v>321</v>
      </c>
      <c r="C133" t="s">
        <v>14</v>
      </c>
      <c r="D133" t="s">
        <v>127</v>
      </c>
      <c r="E133" t="s">
        <v>39</v>
      </c>
      <c r="F133" t="s">
        <v>44</v>
      </c>
      <c r="G133" t="s">
        <v>17</v>
      </c>
      <c r="H133" t="s">
        <v>18</v>
      </c>
      <c r="I133" t="s">
        <v>19</v>
      </c>
      <c r="J133" t="s">
        <v>20</v>
      </c>
      <c r="K133" t="s">
        <v>21</v>
      </c>
      <c r="L133" s="6">
        <v>45266</v>
      </c>
    </row>
    <row r="134" spans="1:12" x14ac:dyDescent="0.75">
      <c r="A134" t="s">
        <v>322</v>
      </c>
      <c r="B134" t="s">
        <v>323</v>
      </c>
      <c r="C134" t="s">
        <v>14</v>
      </c>
      <c r="D134" t="s">
        <v>15</v>
      </c>
      <c r="E134" t="s">
        <v>15</v>
      </c>
      <c r="F134" t="s">
        <v>51</v>
      </c>
      <c r="G134" t="s">
        <v>17</v>
      </c>
      <c r="H134" t="s">
        <v>18</v>
      </c>
      <c r="I134" t="s">
        <v>19</v>
      </c>
      <c r="J134" t="s">
        <v>20</v>
      </c>
      <c r="K134" t="s">
        <v>21</v>
      </c>
      <c r="L134" s="6">
        <v>45076</v>
      </c>
    </row>
    <row r="135" spans="1:12" x14ac:dyDescent="0.75">
      <c r="A135" t="s">
        <v>324</v>
      </c>
      <c r="B135" t="s">
        <v>325</v>
      </c>
      <c r="C135" t="s">
        <v>47</v>
      </c>
      <c r="D135" t="s">
        <v>15</v>
      </c>
      <c r="E135" t="s">
        <v>15</v>
      </c>
      <c r="F135" t="s">
        <v>51</v>
      </c>
      <c r="G135" t="s">
        <v>35</v>
      </c>
      <c r="H135" t="s">
        <v>18</v>
      </c>
      <c r="I135" t="s">
        <v>19</v>
      </c>
      <c r="J135" t="s">
        <v>20</v>
      </c>
      <c r="K135" t="s">
        <v>21</v>
      </c>
      <c r="L135" s="6">
        <v>46010</v>
      </c>
    </row>
    <row r="136" spans="1:12" x14ac:dyDescent="0.75">
      <c r="A136" t="s">
        <v>326</v>
      </c>
      <c r="B136" t="s">
        <v>327</v>
      </c>
      <c r="C136" t="s">
        <v>50</v>
      </c>
      <c r="D136" t="s">
        <v>15</v>
      </c>
      <c r="E136" t="s">
        <v>15</v>
      </c>
      <c r="F136" t="s">
        <v>51</v>
      </c>
      <c r="G136" t="s">
        <v>35</v>
      </c>
      <c r="H136" t="s">
        <v>18</v>
      </c>
      <c r="I136" t="s">
        <v>19</v>
      </c>
      <c r="J136" t="s">
        <v>20</v>
      </c>
      <c r="K136" t="s">
        <v>21</v>
      </c>
      <c r="L136" s="6">
        <v>45605</v>
      </c>
    </row>
    <row r="137" spans="1:12" x14ac:dyDescent="0.75">
      <c r="A137" t="s">
        <v>328</v>
      </c>
      <c r="B137" t="s">
        <v>329</v>
      </c>
      <c r="C137" t="s">
        <v>50</v>
      </c>
      <c r="D137" t="s">
        <v>117</v>
      </c>
      <c r="E137" t="s">
        <v>118</v>
      </c>
      <c r="F137" t="s">
        <v>44</v>
      </c>
      <c r="G137" t="s">
        <v>35</v>
      </c>
      <c r="H137" t="s">
        <v>18</v>
      </c>
      <c r="I137" t="s">
        <v>19</v>
      </c>
      <c r="J137" t="s">
        <v>20</v>
      </c>
      <c r="K137" t="s">
        <v>21</v>
      </c>
      <c r="L137" s="6">
        <v>46177</v>
      </c>
    </row>
    <row r="138" spans="1:12" x14ac:dyDescent="0.75">
      <c r="A138" t="s">
        <v>330</v>
      </c>
      <c r="B138" t="s">
        <v>331</v>
      </c>
      <c r="C138" t="s">
        <v>47</v>
      </c>
      <c r="D138" t="s">
        <v>15</v>
      </c>
      <c r="E138" t="s">
        <v>15</v>
      </c>
      <c r="F138" t="s">
        <v>51</v>
      </c>
      <c r="G138" t="s">
        <v>35</v>
      </c>
      <c r="H138" t="s">
        <v>18</v>
      </c>
      <c r="I138" t="s">
        <v>19</v>
      </c>
      <c r="J138" t="s">
        <v>20</v>
      </c>
      <c r="K138" t="s">
        <v>21</v>
      </c>
      <c r="L138" s="6">
        <v>44946</v>
      </c>
    </row>
    <row r="139" spans="1:12" x14ac:dyDescent="0.75">
      <c r="A139" t="s">
        <v>332</v>
      </c>
      <c r="B139" t="s">
        <v>333</v>
      </c>
      <c r="C139" t="s">
        <v>32</v>
      </c>
      <c r="D139" t="s">
        <v>33</v>
      </c>
      <c r="E139" t="s">
        <v>34</v>
      </c>
      <c r="F139" t="s">
        <v>51</v>
      </c>
      <c r="G139" t="s">
        <v>35</v>
      </c>
      <c r="H139" t="s">
        <v>18</v>
      </c>
      <c r="I139" t="s">
        <v>19</v>
      </c>
      <c r="J139" t="s">
        <v>20</v>
      </c>
      <c r="K139" t="s">
        <v>21</v>
      </c>
      <c r="L139" s="6">
        <v>46185</v>
      </c>
    </row>
    <row r="140" spans="1:12" x14ac:dyDescent="0.75">
      <c r="A140" t="s">
        <v>334</v>
      </c>
      <c r="B140" t="s">
        <v>335</v>
      </c>
      <c r="C140" t="s">
        <v>14</v>
      </c>
      <c r="D140" t="s">
        <v>54</v>
      </c>
      <c r="E140" t="s">
        <v>55</v>
      </c>
      <c r="F140" t="s">
        <v>44</v>
      </c>
      <c r="G140" t="s">
        <v>35</v>
      </c>
      <c r="H140" t="s">
        <v>18</v>
      </c>
      <c r="I140" t="s">
        <v>19</v>
      </c>
      <c r="J140" t="s">
        <v>20</v>
      </c>
      <c r="K140" t="s">
        <v>21</v>
      </c>
      <c r="L140" s="6">
        <v>45015</v>
      </c>
    </row>
    <row r="141" spans="1:12" x14ac:dyDescent="0.75">
      <c r="A141" t="s">
        <v>336</v>
      </c>
      <c r="B141" t="s">
        <v>337</v>
      </c>
      <c r="C141" t="s">
        <v>50</v>
      </c>
      <c r="D141" t="s">
        <v>15</v>
      </c>
      <c r="E141" t="s">
        <v>15</v>
      </c>
      <c r="F141" t="s">
        <v>44</v>
      </c>
      <c r="G141" t="s">
        <v>35</v>
      </c>
      <c r="H141" t="s">
        <v>18</v>
      </c>
      <c r="I141" t="s">
        <v>19</v>
      </c>
      <c r="J141" t="s">
        <v>20</v>
      </c>
      <c r="K141" t="s">
        <v>21</v>
      </c>
      <c r="L141" s="6">
        <v>46258</v>
      </c>
    </row>
    <row r="142" spans="1:12" x14ac:dyDescent="0.75">
      <c r="A142" t="s">
        <v>338</v>
      </c>
      <c r="B142" t="s">
        <v>339</v>
      </c>
      <c r="C142" t="s">
        <v>50</v>
      </c>
      <c r="D142" t="s">
        <v>238</v>
      </c>
      <c r="E142" t="s">
        <v>59</v>
      </c>
      <c r="F142" t="s">
        <v>16</v>
      </c>
      <c r="G142" t="s">
        <v>35</v>
      </c>
      <c r="H142" t="s">
        <v>18</v>
      </c>
      <c r="I142" t="s">
        <v>19</v>
      </c>
      <c r="J142" t="s">
        <v>85</v>
      </c>
      <c r="K142" t="s">
        <v>21</v>
      </c>
      <c r="L142" s="6">
        <v>44959</v>
      </c>
    </row>
    <row r="143" spans="1:12" x14ac:dyDescent="0.75">
      <c r="A143" t="s">
        <v>340</v>
      </c>
      <c r="B143" t="s">
        <v>341</v>
      </c>
      <c r="C143" t="s">
        <v>14</v>
      </c>
      <c r="D143" t="s">
        <v>15</v>
      </c>
      <c r="E143" t="s">
        <v>15</v>
      </c>
      <c r="F143" t="s">
        <v>51</v>
      </c>
      <c r="G143" t="s">
        <v>35</v>
      </c>
      <c r="H143" t="s">
        <v>18</v>
      </c>
      <c r="I143" t="s">
        <v>19</v>
      </c>
      <c r="J143" t="s">
        <v>20</v>
      </c>
      <c r="K143" t="s">
        <v>21</v>
      </c>
      <c r="L143" s="6">
        <v>45797</v>
      </c>
    </row>
    <row r="144" spans="1:12" x14ac:dyDescent="0.75">
      <c r="A144" t="s">
        <v>342</v>
      </c>
      <c r="B144" t="s">
        <v>343</v>
      </c>
      <c r="C144" t="s">
        <v>64</v>
      </c>
      <c r="D144" t="s">
        <v>117</v>
      </c>
      <c r="E144" t="s">
        <v>118</v>
      </c>
      <c r="F144" t="s">
        <v>51</v>
      </c>
      <c r="G144" t="s">
        <v>35</v>
      </c>
      <c r="H144" t="s">
        <v>18</v>
      </c>
      <c r="I144" t="s">
        <v>19</v>
      </c>
      <c r="J144" t="s">
        <v>20</v>
      </c>
      <c r="K144" t="s">
        <v>21</v>
      </c>
      <c r="L144" s="6">
        <v>45392</v>
      </c>
    </row>
    <row r="145" spans="1:12" x14ac:dyDescent="0.75">
      <c r="A145" t="s">
        <v>344</v>
      </c>
      <c r="B145" t="s">
        <v>345</v>
      </c>
      <c r="C145" t="s">
        <v>50</v>
      </c>
      <c r="D145" t="s">
        <v>94</v>
      </c>
      <c r="E145" t="s">
        <v>39</v>
      </c>
      <c r="F145" t="s">
        <v>51</v>
      </c>
      <c r="G145" t="s">
        <v>35</v>
      </c>
      <c r="H145" t="s">
        <v>18</v>
      </c>
      <c r="I145" t="s">
        <v>19</v>
      </c>
      <c r="J145" t="s">
        <v>20</v>
      </c>
      <c r="K145" t="s">
        <v>21</v>
      </c>
      <c r="L145" s="6">
        <v>44866</v>
      </c>
    </row>
    <row r="146" spans="1:12" x14ac:dyDescent="0.75">
      <c r="A146" t="s">
        <v>346</v>
      </c>
      <c r="B146" t="s">
        <v>347</v>
      </c>
      <c r="C146" t="s">
        <v>14</v>
      </c>
      <c r="D146" t="s">
        <v>38</v>
      </c>
      <c r="E146" t="s">
        <v>59</v>
      </c>
      <c r="F146" t="s">
        <v>16</v>
      </c>
      <c r="G146" t="s">
        <v>35</v>
      </c>
      <c r="H146" t="s">
        <v>18</v>
      </c>
      <c r="I146" t="s">
        <v>19</v>
      </c>
      <c r="J146" t="s">
        <v>20</v>
      </c>
      <c r="K146" t="s">
        <v>21</v>
      </c>
      <c r="L146" s="6">
        <v>45373</v>
      </c>
    </row>
    <row r="147" spans="1:12" x14ac:dyDescent="0.75">
      <c r="A147" t="s">
        <v>348</v>
      </c>
      <c r="B147" t="s">
        <v>349</v>
      </c>
      <c r="C147" t="s">
        <v>14</v>
      </c>
      <c r="D147" t="s">
        <v>15</v>
      </c>
      <c r="E147" t="s">
        <v>15</v>
      </c>
      <c r="F147" t="s">
        <v>44</v>
      </c>
      <c r="G147" t="s">
        <v>35</v>
      </c>
      <c r="H147" t="s">
        <v>18</v>
      </c>
      <c r="I147" t="s">
        <v>19</v>
      </c>
      <c r="J147" t="s">
        <v>20</v>
      </c>
      <c r="K147" t="s">
        <v>21</v>
      </c>
      <c r="L147" s="6">
        <v>45956</v>
      </c>
    </row>
    <row r="148" spans="1:12" x14ac:dyDescent="0.75">
      <c r="A148" t="s">
        <v>350</v>
      </c>
      <c r="B148" t="s">
        <v>351</v>
      </c>
      <c r="C148" t="s">
        <v>50</v>
      </c>
      <c r="D148" t="s">
        <v>72</v>
      </c>
      <c r="E148" t="s">
        <v>39</v>
      </c>
      <c r="F148" t="s">
        <v>16</v>
      </c>
      <c r="G148" t="s">
        <v>35</v>
      </c>
      <c r="H148" t="s">
        <v>18</v>
      </c>
      <c r="I148" t="s">
        <v>19</v>
      </c>
      <c r="J148" t="s">
        <v>20</v>
      </c>
      <c r="K148" t="s">
        <v>21</v>
      </c>
      <c r="L148" s="6">
        <v>46077</v>
      </c>
    </row>
    <row r="149" spans="1:12" x14ac:dyDescent="0.75">
      <c r="A149" t="s">
        <v>352</v>
      </c>
      <c r="B149" t="s">
        <v>353</v>
      </c>
      <c r="C149" t="s">
        <v>14</v>
      </c>
      <c r="D149" t="s">
        <v>15</v>
      </c>
      <c r="E149" t="s">
        <v>15</v>
      </c>
      <c r="F149" t="s">
        <v>16</v>
      </c>
      <c r="G149" t="s">
        <v>17</v>
      </c>
      <c r="H149" t="s">
        <v>18</v>
      </c>
      <c r="I149" t="s">
        <v>19</v>
      </c>
      <c r="J149" t="s">
        <v>20</v>
      </c>
      <c r="K149" t="s">
        <v>21</v>
      </c>
      <c r="L149" s="6">
        <v>45903</v>
      </c>
    </row>
    <row r="150" spans="1:12" x14ac:dyDescent="0.75">
      <c r="A150" t="s">
        <v>354</v>
      </c>
      <c r="B150" t="s">
        <v>355</v>
      </c>
      <c r="C150" t="s">
        <v>50</v>
      </c>
      <c r="D150" t="s">
        <v>15</v>
      </c>
      <c r="E150" t="s">
        <v>15</v>
      </c>
      <c r="F150" t="s">
        <v>51</v>
      </c>
      <c r="G150" t="s">
        <v>17</v>
      </c>
      <c r="H150" t="s">
        <v>18</v>
      </c>
      <c r="I150" t="s">
        <v>19</v>
      </c>
      <c r="J150" t="s">
        <v>20</v>
      </c>
      <c r="K150" t="s">
        <v>21</v>
      </c>
      <c r="L150" s="6">
        <v>45140</v>
      </c>
    </row>
    <row r="151" spans="1:12" x14ac:dyDescent="0.75">
      <c r="A151" t="s">
        <v>356</v>
      </c>
      <c r="B151" t="s">
        <v>357</v>
      </c>
      <c r="C151" t="s">
        <v>14</v>
      </c>
      <c r="D151" t="s">
        <v>15</v>
      </c>
      <c r="E151" t="s">
        <v>15</v>
      </c>
      <c r="F151" t="s">
        <v>16</v>
      </c>
      <c r="G151" t="s">
        <v>35</v>
      </c>
      <c r="H151" t="s">
        <v>18</v>
      </c>
      <c r="I151" t="s">
        <v>19</v>
      </c>
      <c r="J151" t="s">
        <v>20</v>
      </c>
      <c r="K151" t="s">
        <v>21</v>
      </c>
      <c r="L151" s="6">
        <v>44903</v>
      </c>
    </row>
    <row r="152" spans="1:12" x14ac:dyDescent="0.75">
      <c r="A152" t="s">
        <v>358</v>
      </c>
      <c r="B152" t="s">
        <v>359</v>
      </c>
      <c r="C152" t="s">
        <v>14</v>
      </c>
      <c r="D152" t="s">
        <v>15</v>
      </c>
      <c r="E152" t="s">
        <v>15</v>
      </c>
      <c r="F152" t="s">
        <v>16</v>
      </c>
      <c r="G152" t="s">
        <v>17</v>
      </c>
      <c r="H152" t="s">
        <v>18</v>
      </c>
      <c r="I152" t="s">
        <v>19</v>
      </c>
      <c r="J152" t="s">
        <v>20</v>
      </c>
      <c r="K152" t="s">
        <v>21</v>
      </c>
      <c r="L152" s="6">
        <v>44912</v>
      </c>
    </row>
    <row r="153" spans="1:12" x14ac:dyDescent="0.75">
      <c r="A153" t="s">
        <v>360</v>
      </c>
      <c r="B153" t="s">
        <v>361</v>
      </c>
      <c r="C153" t="s">
        <v>14</v>
      </c>
      <c r="D153" t="s">
        <v>15</v>
      </c>
      <c r="E153" t="s">
        <v>15</v>
      </c>
      <c r="F153" t="s">
        <v>44</v>
      </c>
      <c r="G153" t="s">
        <v>17</v>
      </c>
      <c r="H153" t="s">
        <v>18</v>
      </c>
      <c r="I153" t="s">
        <v>19</v>
      </c>
      <c r="J153" t="s">
        <v>85</v>
      </c>
      <c r="K153" t="s">
        <v>21</v>
      </c>
      <c r="L153" s="6">
        <v>46281</v>
      </c>
    </row>
    <row r="154" spans="1:12" x14ac:dyDescent="0.75">
      <c r="A154" t="s">
        <v>362</v>
      </c>
      <c r="B154" t="s">
        <v>363</v>
      </c>
      <c r="C154" t="s">
        <v>14</v>
      </c>
      <c r="D154" t="s">
        <v>54</v>
      </c>
      <c r="E154" t="s">
        <v>55</v>
      </c>
      <c r="F154" t="s">
        <v>16</v>
      </c>
      <c r="G154" t="s">
        <v>17</v>
      </c>
      <c r="H154" t="s">
        <v>18</v>
      </c>
      <c r="I154" t="s">
        <v>19</v>
      </c>
      <c r="J154" t="s">
        <v>20</v>
      </c>
      <c r="K154" t="s">
        <v>21</v>
      </c>
      <c r="L154" s="6">
        <v>45359</v>
      </c>
    </row>
    <row r="155" spans="1:12" x14ac:dyDescent="0.75">
      <c r="A155" t="s">
        <v>364</v>
      </c>
      <c r="B155" t="s">
        <v>365</v>
      </c>
      <c r="C155" t="s">
        <v>64</v>
      </c>
      <c r="D155" t="s">
        <v>75</v>
      </c>
      <c r="E155" t="s">
        <v>55</v>
      </c>
      <c r="F155" t="s">
        <v>16</v>
      </c>
      <c r="G155" t="s">
        <v>17</v>
      </c>
      <c r="H155" t="s">
        <v>19</v>
      </c>
      <c r="I155" t="s">
        <v>19</v>
      </c>
      <c r="J155" t="s">
        <v>85</v>
      </c>
      <c r="K155" t="s">
        <v>21</v>
      </c>
      <c r="L155" s="6">
        <v>46046</v>
      </c>
    </row>
    <row r="156" spans="1:12" x14ac:dyDescent="0.75">
      <c r="A156" t="s">
        <v>366</v>
      </c>
      <c r="B156" t="s">
        <v>367</v>
      </c>
      <c r="C156" t="s">
        <v>14</v>
      </c>
      <c r="D156" t="s">
        <v>33</v>
      </c>
      <c r="E156" t="s">
        <v>34</v>
      </c>
      <c r="F156" t="s">
        <v>51</v>
      </c>
      <c r="G156" t="s">
        <v>17</v>
      </c>
      <c r="H156" t="s">
        <v>18</v>
      </c>
      <c r="I156" t="s">
        <v>19</v>
      </c>
      <c r="J156" t="s">
        <v>20</v>
      </c>
      <c r="K156" t="s">
        <v>21</v>
      </c>
      <c r="L156" s="6">
        <v>44860</v>
      </c>
    </row>
    <row r="157" spans="1:12" x14ac:dyDescent="0.75">
      <c r="A157" t="s">
        <v>368</v>
      </c>
      <c r="B157" t="s">
        <v>369</v>
      </c>
      <c r="C157" t="s">
        <v>47</v>
      </c>
      <c r="D157" t="s">
        <v>33</v>
      </c>
      <c r="E157" t="s">
        <v>34</v>
      </c>
      <c r="F157" t="s">
        <v>44</v>
      </c>
      <c r="G157" t="s">
        <v>17</v>
      </c>
      <c r="H157" t="s">
        <v>18</v>
      </c>
      <c r="I157" t="s">
        <v>19</v>
      </c>
      <c r="J157" t="s">
        <v>20</v>
      </c>
      <c r="K157" t="s">
        <v>21</v>
      </c>
      <c r="L157" s="6">
        <v>45623</v>
      </c>
    </row>
    <row r="158" spans="1:12" x14ac:dyDescent="0.75">
      <c r="A158" t="s">
        <v>370</v>
      </c>
      <c r="B158" t="s">
        <v>371</v>
      </c>
      <c r="C158" t="s">
        <v>14</v>
      </c>
      <c r="D158" t="s">
        <v>238</v>
      </c>
      <c r="E158" t="s">
        <v>59</v>
      </c>
      <c r="F158" t="s">
        <v>51</v>
      </c>
      <c r="G158" t="s">
        <v>17</v>
      </c>
      <c r="H158" t="s">
        <v>18</v>
      </c>
      <c r="I158" t="s">
        <v>19</v>
      </c>
      <c r="J158" t="s">
        <v>20</v>
      </c>
      <c r="K158" t="s">
        <v>21</v>
      </c>
      <c r="L158" s="6">
        <v>45968</v>
      </c>
    </row>
    <row r="159" spans="1:12" x14ac:dyDescent="0.75">
      <c r="A159" t="s">
        <v>372</v>
      </c>
      <c r="B159" t="s">
        <v>373</v>
      </c>
      <c r="C159" t="s">
        <v>32</v>
      </c>
      <c r="D159" t="s">
        <v>58</v>
      </c>
      <c r="E159" t="s">
        <v>59</v>
      </c>
      <c r="F159" t="s">
        <v>51</v>
      </c>
      <c r="G159" t="s">
        <v>35</v>
      </c>
      <c r="H159" t="s">
        <v>18</v>
      </c>
      <c r="I159" t="s">
        <v>19</v>
      </c>
      <c r="J159" t="s">
        <v>20</v>
      </c>
      <c r="K159" t="s">
        <v>21</v>
      </c>
      <c r="L159" s="6">
        <v>45486</v>
      </c>
    </row>
    <row r="160" spans="1:12" x14ac:dyDescent="0.75">
      <c r="A160" t="s">
        <v>374</v>
      </c>
      <c r="B160" t="s">
        <v>375</v>
      </c>
      <c r="C160" t="s">
        <v>50</v>
      </c>
      <c r="D160" t="s">
        <v>33</v>
      </c>
      <c r="E160" t="s">
        <v>34</v>
      </c>
      <c r="F160" t="s">
        <v>16</v>
      </c>
      <c r="G160" t="s">
        <v>35</v>
      </c>
      <c r="H160" t="s">
        <v>18</v>
      </c>
      <c r="I160" t="s">
        <v>19</v>
      </c>
      <c r="J160" t="s">
        <v>20</v>
      </c>
      <c r="K160" t="s">
        <v>21</v>
      </c>
      <c r="L160" s="6">
        <v>45247</v>
      </c>
    </row>
    <row r="161" spans="1:12" x14ac:dyDescent="0.75">
      <c r="A161" t="s">
        <v>376</v>
      </c>
      <c r="B161" t="s">
        <v>377</v>
      </c>
      <c r="C161" t="s">
        <v>64</v>
      </c>
      <c r="D161" t="s">
        <v>54</v>
      </c>
      <c r="E161" t="s">
        <v>55</v>
      </c>
      <c r="F161" t="s">
        <v>16</v>
      </c>
      <c r="G161" t="s">
        <v>17</v>
      </c>
      <c r="H161" t="s">
        <v>18</v>
      </c>
      <c r="I161" t="s">
        <v>19</v>
      </c>
      <c r="J161" t="s">
        <v>20</v>
      </c>
      <c r="K161" t="s">
        <v>21</v>
      </c>
      <c r="L161" s="6">
        <v>46145</v>
      </c>
    </row>
    <row r="162" spans="1:12" x14ac:dyDescent="0.75">
      <c r="A162" t="s">
        <v>378</v>
      </c>
      <c r="B162" t="s">
        <v>379</v>
      </c>
      <c r="C162" t="s">
        <v>14</v>
      </c>
      <c r="D162" t="s">
        <v>15</v>
      </c>
      <c r="E162" t="s">
        <v>15</v>
      </c>
      <c r="F162" t="s">
        <v>16</v>
      </c>
      <c r="G162" t="s">
        <v>17</v>
      </c>
      <c r="H162" t="s">
        <v>18</v>
      </c>
      <c r="I162" t="s">
        <v>19</v>
      </c>
      <c r="J162" t="s">
        <v>20</v>
      </c>
      <c r="K162" t="s">
        <v>21</v>
      </c>
      <c r="L162" s="6">
        <v>45203</v>
      </c>
    </row>
    <row r="163" spans="1:12" x14ac:dyDescent="0.75">
      <c r="A163" t="s">
        <v>380</v>
      </c>
      <c r="B163" t="s">
        <v>381</v>
      </c>
      <c r="C163" t="s">
        <v>47</v>
      </c>
      <c r="D163" t="s">
        <v>33</v>
      </c>
      <c r="E163" t="s">
        <v>34</v>
      </c>
      <c r="F163" t="s">
        <v>16</v>
      </c>
      <c r="G163" t="s">
        <v>17</v>
      </c>
      <c r="H163" t="s">
        <v>19</v>
      </c>
      <c r="I163" t="s">
        <v>19</v>
      </c>
      <c r="J163" t="s">
        <v>20</v>
      </c>
      <c r="K163" t="s">
        <v>21</v>
      </c>
      <c r="L163" s="6">
        <v>46089</v>
      </c>
    </row>
    <row r="164" spans="1:12" x14ac:dyDescent="0.75">
      <c r="A164" t="s">
        <v>382</v>
      </c>
      <c r="B164" t="s">
        <v>383</v>
      </c>
      <c r="C164" t="s">
        <v>14</v>
      </c>
      <c r="D164" t="s">
        <v>117</v>
      </c>
      <c r="E164" t="s">
        <v>118</v>
      </c>
      <c r="F164" t="s">
        <v>51</v>
      </c>
      <c r="G164" t="s">
        <v>35</v>
      </c>
      <c r="H164" t="s">
        <v>18</v>
      </c>
      <c r="I164" t="s">
        <v>19</v>
      </c>
      <c r="J164" t="s">
        <v>20</v>
      </c>
      <c r="K164" t="s">
        <v>21</v>
      </c>
      <c r="L164" s="6">
        <v>45844</v>
      </c>
    </row>
    <row r="165" spans="1:12" x14ac:dyDescent="0.75">
      <c r="A165" t="s">
        <v>384</v>
      </c>
      <c r="B165" t="s">
        <v>385</v>
      </c>
      <c r="C165" t="s">
        <v>64</v>
      </c>
      <c r="D165" t="s">
        <v>15</v>
      </c>
      <c r="E165" t="s">
        <v>15</v>
      </c>
      <c r="F165" t="s">
        <v>16</v>
      </c>
      <c r="G165" t="s">
        <v>35</v>
      </c>
      <c r="I165" t="s">
        <v>19</v>
      </c>
      <c r="J165" t="s">
        <v>20</v>
      </c>
      <c r="K165" t="s">
        <v>21</v>
      </c>
      <c r="L165" s="6">
        <v>45595</v>
      </c>
    </row>
    <row r="166" spans="1:12" x14ac:dyDescent="0.75">
      <c r="A166" t="s">
        <v>386</v>
      </c>
      <c r="B166" t="s">
        <v>387</v>
      </c>
      <c r="C166" t="s">
        <v>14</v>
      </c>
      <c r="D166" t="s">
        <v>117</v>
      </c>
      <c r="E166" t="s">
        <v>118</v>
      </c>
      <c r="F166" t="s">
        <v>51</v>
      </c>
      <c r="G166" t="s">
        <v>17</v>
      </c>
      <c r="H166" t="s">
        <v>18</v>
      </c>
      <c r="I166" t="s">
        <v>19</v>
      </c>
      <c r="J166" t="s">
        <v>85</v>
      </c>
      <c r="K166" t="s">
        <v>21</v>
      </c>
      <c r="L166" s="6">
        <v>45616</v>
      </c>
    </row>
    <row r="167" spans="1:12" x14ac:dyDescent="0.75">
      <c r="A167" t="s">
        <v>388</v>
      </c>
      <c r="B167" t="s">
        <v>389</v>
      </c>
      <c r="C167" t="s">
        <v>50</v>
      </c>
      <c r="D167" t="s">
        <v>117</v>
      </c>
      <c r="E167" t="s">
        <v>118</v>
      </c>
      <c r="F167" t="s">
        <v>44</v>
      </c>
      <c r="G167" t="s">
        <v>35</v>
      </c>
      <c r="H167" t="s">
        <v>18</v>
      </c>
      <c r="I167" t="s">
        <v>19</v>
      </c>
      <c r="J167" t="s">
        <v>20</v>
      </c>
      <c r="K167" t="s">
        <v>133</v>
      </c>
      <c r="L167" s="6">
        <v>45293</v>
      </c>
    </row>
    <row r="168" spans="1:12" x14ac:dyDescent="0.75">
      <c r="A168" t="s">
        <v>390</v>
      </c>
      <c r="B168" t="s">
        <v>391</v>
      </c>
      <c r="C168" t="s">
        <v>50</v>
      </c>
      <c r="D168" t="s">
        <v>117</v>
      </c>
      <c r="E168" t="s">
        <v>118</v>
      </c>
      <c r="F168" t="s">
        <v>16</v>
      </c>
      <c r="G168" t="s">
        <v>35</v>
      </c>
      <c r="H168" t="s">
        <v>18</v>
      </c>
      <c r="I168" t="s">
        <v>18</v>
      </c>
      <c r="J168" t="s">
        <v>20</v>
      </c>
      <c r="K168" t="s">
        <v>21</v>
      </c>
      <c r="L168" s="6">
        <v>46062</v>
      </c>
    </row>
    <row r="169" spans="1:12" x14ac:dyDescent="0.75">
      <c r="A169" t="s">
        <v>392</v>
      </c>
      <c r="B169" t="s">
        <v>393</v>
      </c>
      <c r="C169" t="s">
        <v>14</v>
      </c>
      <c r="D169" t="s">
        <v>117</v>
      </c>
      <c r="E169" t="s">
        <v>118</v>
      </c>
      <c r="F169" t="s">
        <v>51</v>
      </c>
      <c r="G169" t="s">
        <v>17</v>
      </c>
      <c r="H169" t="s">
        <v>19</v>
      </c>
      <c r="I169" t="s">
        <v>19</v>
      </c>
      <c r="J169" t="s">
        <v>20</v>
      </c>
      <c r="K169" t="s">
        <v>21</v>
      </c>
      <c r="L169" s="6">
        <v>45407</v>
      </c>
    </row>
    <row r="170" spans="1:12" x14ac:dyDescent="0.75">
      <c r="A170" t="s">
        <v>394</v>
      </c>
      <c r="B170" t="s">
        <v>395</v>
      </c>
      <c r="C170" t="s">
        <v>14</v>
      </c>
      <c r="D170" t="s">
        <v>15</v>
      </c>
      <c r="E170" t="s">
        <v>15</v>
      </c>
      <c r="F170" t="s">
        <v>44</v>
      </c>
      <c r="G170" t="s">
        <v>35</v>
      </c>
      <c r="H170" t="s">
        <v>18</v>
      </c>
      <c r="I170" t="s">
        <v>19</v>
      </c>
      <c r="J170" t="s">
        <v>20</v>
      </c>
      <c r="K170" t="s">
        <v>21</v>
      </c>
      <c r="L170" s="6">
        <v>46135</v>
      </c>
    </row>
    <row r="171" spans="1:12" x14ac:dyDescent="0.75">
      <c r="A171" t="s">
        <v>396</v>
      </c>
      <c r="B171" t="s">
        <v>397</v>
      </c>
      <c r="C171" t="s">
        <v>14</v>
      </c>
      <c r="D171" t="s">
        <v>33</v>
      </c>
      <c r="E171" t="s">
        <v>34</v>
      </c>
      <c r="F171" t="s">
        <v>16</v>
      </c>
      <c r="G171" t="s">
        <v>17</v>
      </c>
      <c r="H171" t="s">
        <v>18</v>
      </c>
      <c r="I171" t="s">
        <v>19</v>
      </c>
      <c r="J171" t="s">
        <v>20</v>
      </c>
      <c r="K171" t="s">
        <v>21</v>
      </c>
      <c r="L171" s="6">
        <v>45727</v>
      </c>
    </row>
    <row r="172" spans="1:12" x14ac:dyDescent="0.75">
      <c r="A172" t="s">
        <v>398</v>
      </c>
      <c r="B172" t="s">
        <v>399</v>
      </c>
      <c r="C172" t="s">
        <v>32</v>
      </c>
      <c r="D172" t="s">
        <v>38</v>
      </c>
      <c r="E172" t="s">
        <v>59</v>
      </c>
      <c r="F172" t="s">
        <v>51</v>
      </c>
      <c r="G172" t="s">
        <v>35</v>
      </c>
      <c r="H172" t="s">
        <v>18</v>
      </c>
      <c r="I172" t="s">
        <v>19</v>
      </c>
      <c r="J172" t="s">
        <v>20</v>
      </c>
      <c r="K172" t="s">
        <v>21</v>
      </c>
      <c r="L172" s="6">
        <v>44858</v>
      </c>
    </row>
    <row r="173" spans="1:12" x14ac:dyDescent="0.75">
      <c r="A173" t="s">
        <v>400</v>
      </c>
      <c r="B173" t="s">
        <v>401</v>
      </c>
      <c r="C173" t="s">
        <v>50</v>
      </c>
      <c r="D173" t="s">
        <v>33</v>
      </c>
      <c r="E173" t="s">
        <v>34</v>
      </c>
      <c r="F173" t="s">
        <v>44</v>
      </c>
      <c r="G173" t="s">
        <v>35</v>
      </c>
      <c r="H173" t="s">
        <v>19</v>
      </c>
      <c r="I173" t="s">
        <v>19</v>
      </c>
      <c r="J173" t="s">
        <v>169</v>
      </c>
      <c r="K173" t="s">
        <v>21</v>
      </c>
      <c r="L173" s="6">
        <v>46131</v>
      </c>
    </row>
    <row r="174" spans="1:12" x14ac:dyDescent="0.75">
      <c r="A174" t="s">
        <v>402</v>
      </c>
      <c r="B174" t="s">
        <v>403</v>
      </c>
      <c r="C174" t="s">
        <v>50</v>
      </c>
      <c r="D174" t="s">
        <v>15</v>
      </c>
      <c r="E174" t="s">
        <v>15</v>
      </c>
      <c r="F174" t="s">
        <v>51</v>
      </c>
      <c r="G174" t="s">
        <v>17</v>
      </c>
      <c r="H174" t="s">
        <v>18</v>
      </c>
      <c r="I174" t="s">
        <v>19</v>
      </c>
      <c r="J174" t="s">
        <v>20</v>
      </c>
      <c r="K174" t="s">
        <v>21</v>
      </c>
      <c r="L174" s="6">
        <v>45348</v>
      </c>
    </row>
    <row r="175" spans="1:12" x14ac:dyDescent="0.75">
      <c r="A175" t="s">
        <v>404</v>
      </c>
      <c r="B175" t="s">
        <v>405</v>
      </c>
      <c r="C175" t="s">
        <v>14</v>
      </c>
      <c r="D175" t="s">
        <v>15</v>
      </c>
      <c r="E175" t="s">
        <v>15</v>
      </c>
      <c r="F175" t="s">
        <v>51</v>
      </c>
      <c r="G175" t="s">
        <v>17</v>
      </c>
      <c r="H175" t="s">
        <v>18</v>
      </c>
      <c r="I175" t="s">
        <v>19</v>
      </c>
      <c r="J175" t="s">
        <v>20</v>
      </c>
      <c r="K175" t="s">
        <v>21</v>
      </c>
      <c r="L175" s="6">
        <v>45384</v>
      </c>
    </row>
    <row r="176" spans="1:12" x14ac:dyDescent="0.75">
      <c r="A176" t="s">
        <v>406</v>
      </c>
      <c r="B176" t="s">
        <v>407</v>
      </c>
      <c r="C176" t="s">
        <v>14</v>
      </c>
      <c r="D176" t="s">
        <v>15</v>
      </c>
      <c r="E176" t="s">
        <v>15</v>
      </c>
      <c r="F176" t="s">
        <v>16</v>
      </c>
      <c r="G176" t="s">
        <v>35</v>
      </c>
      <c r="H176" t="s">
        <v>18</v>
      </c>
      <c r="I176" t="s">
        <v>19</v>
      </c>
      <c r="J176" t="s">
        <v>20</v>
      </c>
      <c r="K176" t="s">
        <v>21</v>
      </c>
      <c r="L176" s="6">
        <v>45765</v>
      </c>
    </row>
    <row r="177" spans="1:12" x14ac:dyDescent="0.75">
      <c r="A177" t="s">
        <v>408</v>
      </c>
      <c r="B177" t="s">
        <v>409</v>
      </c>
      <c r="C177" t="s">
        <v>47</v>
      </c>
      <c r="D177" t="s">
        <v>117</v>
      </c>
      <c r="E177" t="s">
        <v>118</v>
      </c>
      <c r="F177" t="s">
        <v>16</v>
      </c>
      <c r="G177" t="s">
        <v>35</v>
      </c>
      <c r="H177" t="s">
        <v>18</v>
      </c>
      <c r="I177" t="s">
        <v>19</v>
      </c>
      <c r="J177" t="s">
        <v>20</v>
      </c>
      <c r="K177" t="s">
        <v>21</v>
      </c>
      <c r="L177" s="6">
        <v>45331</v>
      </c>
    </row>
    <row r="178" spans="1:12" x14ac:dyDescent="0.75">
      <c r="A178" t="s">
        <v>410</v>
      </c>
      <c r="B178" t="s">
        <v>411</v>
      </c>
      <c r="C178" t="s">
        <v>14</v>
      </c>
      <c r="D178" t="s">
        <v>15</v>
      </c>
      <c r="E178" t="s">
        <v>15</v>
      </c>
      <c r="F178" t="s">
        <v>44</v>
      </c>
      <c r="G178" t="s">
        <v>35</v>
      </c>
      <c r="H178" t="s">
        <v>18</v>
      </c>
      <c r="I178" t="s">
        <v>19</v>
      </c>
      <c r="J178" t="s">
        <v>20</v>
      </c>
      <c r="K178" t="s">
        <v>21</v>
      </c>
      <c r="L178" s="6">
        <v>45440</v>
      </c>
    </row>
    <row r="179" spans="1:12" x14ac:dyDescent="0.75">
      <c r="A179" t="s">
        <v>412</v>
      </c>
      <c r="B179" t="s">
        <v>413</v>
      </c>
      <c r="C179" t="s">
        <v>50</v>
      </c>
      <c r="D179" t="s">
        <v>15</v>
      </c>
      <c r="E179" t="s">
        <v>15</v>
      </c>
      <c r="F179" t="s">
        <v>51</v>
      </c>
      <c r="G179" t="s">
        <v>35</v>
      </c>
      <c r="H179" t="s">
        <v>18</v>
      </c>
      <c r="I179" t="s">
        <v>18</v>
      </c>
      <c r="J179" t="s">
        <v>20</v>
      </c>
      <c r="K179" t="s">
        <v>21</v>
      </c>
      <c r="L179" s="6">
        <v>45058</v>
      </c>
    </row>
    <row r="180" spans="1:12" x14ac:dyDescent="0.75">
      <c r="A180" t="s">
        <v>414</v>
      </c>
      <c r="B180" t="s">
        <v>415</v>
      </c>
      <c r="C180" t="s">
        <v>14</v>
      </c>
      <c r="D180" t="s">
        <v>33</v>
      </c>
      <c r="E180" t="s">
        <v>34</v>
      </c>
      <c r="F180" t="s">
        <v>16</v>
      </c>
      <c r="G180" t="s">
        <v>17</v>
      </c>
      <c r="H180" t="s">
        <v>18</v>
      </c>
      <c r="I180" t="s">
        <v>19</v>
      </c>
      <c r="J180" t="s">
        <v>20</v>
      </c>
      <c r="K180" t="s">
        <v>21</v>
      </c>
      <c r="L180" s="6">
        <v>45675</v>
      </c>
    </row>
    <row r="181" spans="1:12" x14ac:dyDescent="0.75">
      <c r="A181" t="s">
        <v>416</v>
      </c>
      <c r="B181" t="s">
        <v>417</v>
      </c>
      <c r="C181" t="s">
        <v>50</v>
      </c>
      <c r="D181" t="s">
        <v>94</v>
      </c>
      <c r="E181" t="s">
        <v>39</v>
      </c>
      <c r="F181" t="s">
        <v>44</v>
      </c>
      <c r="G181" t="s">
        <v>17</v>
      </c>
      <c r="H181" t="s">
        <v>18</v>
      </c>
      <c r="I181" t="s">
        <v>19</v>
      </c>
      <c r="J181" t="s">
        <v>20</v>
      </c>
      <c r="K181" t="s">
        <v>21</v>
      </c>
      <c r="L181" s="6">
        <v>46253</v>
      </c>
    </row>
    <row r="182" spans="1:12" x14ac:dyDescent="0.75">
      <c r="A182" t="s">
        <v>418</v>
      </c>
      <c r="B182" t="s">
        <v>419</v>
      </c>
      <c r="C182" t="s">
        <v>50</v>
      </c>
      <c r="D182" t="s">
        <v>33</v>
      </c>
      <c r="E182" t="s">
        <v>34</v>
      </c>
      <c r="F182" t="s">
        <v>51</v>
      </c>
      <c r="G182" t="s">
        <v>35</v>
      </c>
      <c r="H182" t="s">
        <v>18</v>
      </c>
      <c r="I182" t="s">
        <v>19</v>
      </c>
      <c r="J182" t="s">
        <v>20</v>
      </c>
      <c r="K182" t="s">
        <v>21</v>
      </c>
      <c r="L182" s="6">
        <v>45744</v>
      </c>
    </row>
    <row r="183" spans="1:12" x14ac:dyDescent="0.75">
      <c r="A183" t="s">
        <v>420</v>
      </c>
      <c r="B183" t="s">
        <v>421</v>
      </c>
      <c r="C183" t="s">
        <v>32</v>
      </c>
      <c r="D183" t="s">
        <v>15</v>
      </c>
      <c r="E183" t="s">
        <v>15</v>
      </c>
      <c r="F183" t="s">
        <v>44</v>
      </c>
      <c r="G183" t="s">
        <v>35</v>
      </c>
      <c r="H183" t="s">
        <v>18</v>
      </c>
      <c r="I183" t="s">
        <v>19</v>
      </c>
      <c r="J183" t="s">
        <v>20</v>
      </c>
      <c r="K183" t="s">
        <v>21</v>
      </c>
      <c r="L183" s="6">
        <v>45502</v>
      </c>
    </row>
    <row r="184" spans="1:12" x14ac:dyDescent="0.75">
      <c r="A184" t="s">
        <v>422</v>
      </c>
      <c r="B184" t="s">
        <v>423</v>
      </c>
      <c r="C184" t="s">
        <v>32</v>
      </c>
      <c r="D184" t="s">
        <v>15</v>
      </c>
      <c r="E184" t="s">
        <v>15</v>
      </c>
      <c r="F184" t="s">
        <v>51</v>
      </c>
      <c r="G184" t="s">
        <v>17</v>
      </c>
      <c r="H184" t="s">
        <v>18</v>
      </c>
      <c r="I184" t="s">
        <v>19</v>
      </c>
      <c r="J184" t="s">
        <v>85</v>
      </c>
      <c r="K184" t="s">
        <v>21</v>
      </c>
      <c r="L184" s="6">
        <v>45730</v>
      </c>
    </row>
    <row r="185" spans="1:12" x14ac:dyDescent="0.75">
      <c r="A185" t="s">
        <v>424</v>
      </c>
      <c r="B185" t="s">
        <v>425</v>
      </c>
      <c r="C185" t="s">
        <v>14</v>
      </c>
      <c r="D185" t="s">
        <v>33</v>
      </c>
      <c r="E185" t="s">
        <v>34</v>
      </c>
      <c r="F185" t="s">
        <v>51</v>
      </c>
      <c r="G185" t="s">
        <v>17</v>
      </c>
      <c r="H185" t="s">
        <v>19</v>
      </c>
      <c r="I185" t="s">
        <v>19</v>
      </c>
      <c r="J185" t="s">
        <v>20</v>
      </c>
      <c r="K185" t="s">
        <v>21</v>
      </c>
      <c r="L185" s="6">
        <v>46163</v>
      </c>
    </row>
    <row r="186" spans="1:12" x14ac:dyDescent="0.75">
      <c r="A186" t="s">
        <v>426</v>
      </c>
      <c r="B186" t="s">
        <v>427</v>
      </c>
      <c r="C186" t="s">
        <v>32</v>
      </c>
      <c r="D186" t="s">
        <v>117</v>
      </c>
      <c r="E186" t="s">
        <v>118</v>
      </c>
      <c r="F186" t="s">
        <v>16</v>
      </c>
      <c r="G186" t="s">
        <v>35</v>
      </c>
      <c r="H186" t="s">
        <v>18</v>
      </c>
      <c r="I186" t="s">
        <v>19</v>
      </c>
      <c r="J186" t="s">
        <v>20</v>
      </c>
      <c r="K186" t="s">
        <v>21</v>
      </c>
      <c r="L186" s="6">
        <v>45577</v>
      </c>
    </row>
    <row r="187" spans="1:12" x14ac:dyDescent="0.75">
      <c r="A187" t="s">
        <v>428</v>
      </c>
      <c r="B187" t="s">
        <v>429</v>
      </c>
      <c r="C187" t="s">
        <v>32</v>
      </c>
      <c r="D187" t="s">
        <v>15</v>
      </c>
      <c r="E187" t="s">
        <v>15</v>
      </c>
      <c r="F187" t="s">
        <v>44</v>
      </c>
      <c r="G187" t="s">
        <v>35</v>
      </c>
      <c r="H187" t="s">
        <v>18</v>
      </c>
      <c r="I187" t="s">
        <v>19</v>
      </c>
      <c r="J187" t="s">
        <v>20</v>
      </c>
      <c r="K187" t="s">
        <v>21</v>
      </c>
      <c r="L187" s="6">
        <v>45696</v>
      </c>
    </row>
    <row r="188" spans="1:12" x14ac:dyDescent="0.75">
      <c r="A188" t="s">
        <v>430</v>
      </c>
      <c r="B188" t="s">
        <v>431</v>
      </c>
      <c r="C188" t="s">
        <v>32</v>
      </c>
      <c r="D188" t="s">
        <v>117</v>
      </c>
      <c r="E188" t="s">
        <v>118</v>
      </c>
      <c r="F188" t="s">
        <v>51</v>
      </c>
      <c r="G188" t="s">
        <v>35</v>
      </c>
      <c r="H188" t="s">
        <v>18</v>
      </c>
      <c r="I188" t="s">
        <v>19</v>
      </c>
      <c r="J188" t="s">
        <v>20</v>
      </c>
      <c r="K188" t="s">
        <v>21</v>
      </c>
      <c r="L188" s="6">
        <v>44921</v>
      </c>
    </row>
    <row r="189" spans="1:12" x14ac:dyDescent="0.75">
      <c r="A189" t="s">
        <v>432</v>
      </c>
      <c r="B189" t="s">
        <v>433</v>
      </c>
      <c r="C189" t="s">
        <v>47</v>
      </c>
      <c r="D189" t="s">
        <v>127</v>
      </c>
      <c r="E189" t="s">
        <v>39</v>
      </c>
      <c r="F189" t="s">
        <v>51</v>
      </c>
      <c r="G189" t="s">
        <v>35</v>
      </c>
      <c r="H189" t="s">
        <v>19</v>
      </c>
      <c r="I189" t="s">
        <v>19</v>
      </c>
      <c r="J189" t="s">
        <v>20</v>
      </c>
      <c r="K189" t="s">
        <v>21</v>
      </c>
      <c r="L189" s="6">
        <v>45237</v>
      </c>
    </row>
    <row r="190" spans="1:12" x14ac:dyDescent="0.75">
      <c r="A190" t="s">
        <v>434</v>
      </c>
      <c r="B190" t="s">
        <v>435</v>
      </c>
      <c r="C190" t="s">
        <v>32</v>
      </c>
      <c r="D190" t="s">
        <v>15</v>
      </c>
      <c r="E190" t="s">
        <v>15</v>
      </c>
      <c r="F190" t="s">
        <v>16</v>
      </c>
      <c r="G190" t="s">
        <v>35</v>
      </c>
      <c r="H190" t="s">
        <v>18</v>
      </c>
      <c r="I190" t="s">
        <v>19</v>
      </c>
      <c r="J190" t="s">
        <v>20</v>
      </c>
      <c r="K190" t="s">
        <v>21</v>
      </c>
      <c r="L190" s="6">
        <v>45040</v>
      </c>
    </row>
    <row r="191" spans="1:12" x14ac:dyDescent="0.75">
      <c r="A191" t="s">
        <v>436</v>
      </c>
      <c r="B191" t="s">
        <v>437</v>
      </c>
      <c r="C191" t="s">
        <v>32</v>
      </c>
      <c r="D191" t="s">
        <v>15</v>
      </c>
      <c r="E191" t="s">
        <v>15</v>
      </c>
      <c r="F191" t="s">
        <v>51</v>
      </c>
      <c r="G191" t="s">
        <v>35</v>
      </c>
      <c r="H191" t="s">
        <v>18</v>
      </c>
      <c r="I191" t="s">
        <v>18</v>
      </c>
      <c r="J191" t="s">
        <v>20</v>
      </c>
      <c r="K191" t="s">
        <v>21</v>
      </c>
      <c r="L191" s="6">
        <v>45559</v>
      </c>
    </row>
    <row r="192" spans="1:12" x14ac:dyDescent="0.75">
      <c r="A192" t="s">
        <v>438</v>
      </c>
      <c r="B192" t="s">
        <v>439</v>
      </c>
      <c r="C192" t="s">
        <v>50</v>
      </c>
      <c r="D192" t="s">
        <v>15</v>
      </c>
      <c r="E192" t="s">
        <v>15</v>
      </c>
      <c r="F192" t="s">
        <v>16</v>
      </c>
      <c r="G192" t="s">
        <v>17</v>
      </c>
      <c r="H192" t="s">
        <v>18</v>
      </c>
      <c r="I192" t="s">
        <v>19</v>
      </c>
      <c r="J192" t="s">
        <v>20</v>
      </c>
      <c r="K192" t="s">
        <v>21</v>
      </c>
      <c r="L192" s="6">
        <v>44924</v>
      </c>
    </row>
    <row r="193" spans="1:12" x14ac:dyDescent="0.75">
      <c r="A193" t="s">
        <v>440</v>
      </c>
      <c r="B193" t="s">
        <v>441</v>
      </c>
      <c r="C193" t="s">
        <v>50</v>
      </c>
      <c r="D193" t="s">
        <v>33</v>
      </c>
      <c r="E193" t="s">
        <v>34</v>
      </c>
      <c r="F193" t="s">
        <v>16</v>
      </c>
      <c r="G193" t="s">
        <v>35</v>
      </c>
      <c r="H193" t="s">
        <v>18</v>
      </c>
      <c r="I193" t="s">
        <v>19</v>
      </c>
      <c r="J193" t="s">
        <v>85</v>
      </c>
      <c r="K193" t="s">
        <v>21</v>
      </c>
      <c r="L193" s="6">
        <v>46069</v>
      </c>
    </row>
    <row r="194" spans="1:12" x14ac:dyDescent="0.75">
      <c r="A194" t="s">
        <v>442</v>
      </c>
      <c r="B194" t="s">
        <v>443</v>
      </c>
      <c r="C194" t="s">
        <v>64</v>
      </c>
      <c r="D194" t="s">
        <v>15</v>
      </c>
      <c r="E194" t="s">
        <v>15</v>
      </c>
      <c r="F194" t="s">
        <v>51</v>
      </c>
      <c r="G194" t="s">
        <v>35</v>
      </c>
      <c r="H194" t="s">
        <v>18</v>
      </c>
      <c r="I194" t="s">
        <v>19</v>
      </c>
      <c r="J194" t="s">
        <v>20</v>
      </c>
      <c r="K194" t="s">
        <v>21</v>
      </c>
      <c r="L194" s="6">
        <v>44880</v>
      </c>
    </row>
    <row r="195" spans="1:12" x14ac:dyDescent="0.75">
      <c r="A195" t="s">
        <v>444</v>
      </c>
      <c r="B195" t="s">
        <v>445</v>
      </c>
      <c r="C195" t="s">
        <v>50</v>
      </c>
      <c r="D195" t="s">
        <v>297</v>
      </c>
      <c r="E195" t="s">
        <v>39</v>
      </c>
      <c r="F195" t="s">
        <v>16</v>
      </c>
      <c r="G195" t="s">
        <v>35</v>
      </c>
      <c r="H195" t="s">
        <v>19</v>
      </c>
      <c r="I195" t="s">
        <v>19</v>
      </c>
      <c r="J195" t="s">
        <v>20</v>
      </c>
      <c r="K195" t="s">
        <v>21</v>
      </c>
      <c r="L195" s="6">
        <v>45624</v>
      </c>
    </row>
    <row r="196" spans="1:12" x14ac:dyDescent="0.75">
      <c r="A196" t="s">
        <v>446</v>
      </c>
      <c r="B196" t="s">
        <v>447</v>
      </c>
      <c r="C196" t="s">
        <v>64</v>
      </c>
      <c r="D196" t="s">
        <v>15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 t="s">
        <v>20</v>
      </c>
      <c r="K196" t="s">
        <v>21</v>
      </c>
      <c r="L196" s="6">
        <v>44886</v>
      </c>
    </row>
    <row r="197" spans="1:12" x14ac:dyDescent="0.75">
      <c r="A197" t="s">
        <v>448</v>
      </c>
      <c r="B197" t="s">
        <v>449</v>
      </c>
      <c r="C197" t="s">
        <v>50</v>
      </c>
      <c r="D197" t="s">
        <v>33</v>
      </c>
      <c r="E197" t="s">
        <v>34</v>
      </c>
      <c r="F197" t="s">
        <v>44</v>
      </c>
      <c r="G197" t="s">
        <v>17</v>
      </c>
      <c r="H197" t="s">
        <v>18</v>
      </c>
      <c r="I197" t="s">
        <v>19</v>
      </c>
      <c r="J197" t="s">
        <v>20</v>
      </c>
      <c r="K197" t="s">
        <v>21</v>
      </c>
      <c r="L197" s="6">
        <v>45326</v>
      </c>
    </row>
    <row r="198" spans="1:12" x14ac:dyDescent="0.75">
      <c r="A198" t="s">
        <v>450</v>
      </c>
      <c r="B198" t="s">
        <v>451</v>
      </c>
      <c r="C198" t="s">
        <v>50</v>
      </c>
      <c r="D198" t="s">
        <v>15</v>
      </c>
      <c r="E198" t="s">
        <v>15</v>
      </c>
      <c r="F198" t="s">
        <v>44</v>
      </c>
      <c r="G198" t="s">
        <v>35</v>
      </c>
      <c r="H198" t="s">
        <v>18</v>
      </c>
      <c r="I198" t="s">
        <v>19</v>
      </c>
      <c r="J198" t="s">
        <v>20</v>
      </c>
      <c r="K198" t="s">
        <v>21</v>
      </c>
      <c r="L198" s="6">
        <v>46218</v>
      </c>
    </row>
    <row r="199" spans="1:12" x14ac:dyDescent="0.75">
      <c r="A199" t="s">
        <v>452</v>
      </c>
      <c r="B199" t="s">
        <v>453</v>
      </c>
      <c r="C199" t="s">
        <v>14</v>
      </c>
      <c r="D199" t="s">
        <v>15</v>
      </c>
      <c r="E199" t="s">
        <v>15</v>
      </c>
      <c r="F199" t="s">
        <v>51</v>
      </c>
      <c r="G199" t="s">
        <v>17</v>
      </c>
      <c r="H199" t="s">
        <v>18</v>
      </c>
      <c r="I199" t="s">
        <v>19</v>
      </c>
      <c r="J199" t="s">
        <v>20</v>
      </c>
      <c r="K199" t="s">
        <v>21</v>
      </c>
      <c r="L199" s="6">
        <v>45022</v>
      </c>
    </row>
    <row r="200" spans="1:12" x14ac:dyDescent="0.75">
      <c r="A200" t="s">
        <v>454</v>
      </c>
      <c r="B200" t="s">
        <v>455</v>
      </c>
      <c r="C200" t="s">
        <v>47</v>
      </c>
      <c r="D200" t="s">
        <v>33</v>
      </c>
      <c r="E200" t="s">
        <v>34</v>
      </c>
      <c r="F200" t="s">
        <v>51</v>
      </c>
      <c r="G200" t="s">
        <v>17</v>
      </c>
      <c r="H200" t="s">
        <v>18</v>
      </c>
      <c r="I200" t="s">
        <v>19</v>
      </c>
      <c r="J200" t="s">
        <v>20</v>
      </c>
      <c r="K200" t="s">
        <v>21</v>
      </c>
      <c r="L200" s="6">
        <v>45309</v>
      </c>
    </row>
    <row r="201" spans="1:12" x14ac:dyDescent="0.75">
      <c r="A201" t="s">
        <v>456</v>
      </c>
      <c r="B201" t="s">
        <v>457</v>
      </c>
      <c r="C201" t="s">
        <v>50</v>
      </c>
      <c r="D201" t="s">
        <v>15</v>
      </c>
      <c r="E201" t="s">
        <v>15</v>
      </c>
      <c r="F201" t="s">
        <v>44</v>
      </c>
      <c r="G201" t="s">
        <v>35</v>
      </c>
      <c r="H201" t="s">
        <v>18</v>
      </c>
      <c r="I201" t="s">
        <v>19</v>
      </c>
      <c r="J201" t="s">
        <v>20</v>
      </c>
      <c r="K201" t="s">
        <v>21</v>
      </c>
      <c r="L201" s="6">
        <v>45652</v>
      </c>
    </row>
  </sheetData>
  <autoFilter ref="E1:E201" xr:uid="{00000000-0001-0000-0000-000000000000}"/>
  <dataValidations count="8">
    <dataValidation type="list" allowBlank="1" sqref="C2:C1000" xr:uid="{00000000-0002-0000-0000-000000000000}">
      <formula1>"Corporation,Investment Fund,Bank,Pension Fund,Trust"</formula1>
    </dataValidation>
    <dataValidation type="list" allowBlank="1" sqref="E2:E1000" xr:uid="{00000000-0002-0000-0000-000001000000}">
      <formula1>"Canada,US,UK,Europe,APAC,Offshore"</formula1>
    </dataValidation>
    <dataValidation type="list" allowBlank="1" sqref="F2:F1000" xr:uid="{00000000-0002-0000-0000-000002000000}">
      <formula1>"Equities,Fixed Income,FX"</formula1>
    </dataValidation>
    <dataValidation type="list" allowBlank="1" sqref="G2:G1000" xr:uid="{00000000-0002-0000-0000-000003000000}">
      <formula1>"Simple,Complex"</formula1>
    </dataValidation>
    <dataValidation type="list" allowBlank="1" sqref="H2:I1000" xr:uid="{00000000-0002-0000-0000-000004000000}">
      <formula1>"Y,N"</formula1>
    </dataValidation>
    <dataValidation type="list" allowBlank="1" sqref="J2:J1000" xr:uid="{00000000-0002-0000-0000-000006000000}">
      <formula1>"None,Minor,Material"</formula1>
    </dataValidation>
    <dataValidation type="list" allowBlank="1" sqref="K2:K1000" xr:uid="{00000000-0002-0000-0000-000007000000}">
      <formula1>"Clear,Potential Match"</formula1>
    </dataValidation>
    <dataValidation type="date" operator="greaterThan" allowBlank="1" sqref="L2:L1000" xr:uid="{00000000-0002-0000-0000-000008000000}">
      <formula1>DATE(2000,1,1)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2843-CD12-44B1-BA02-356ABE474215}">
  <dimension ref="A1:G5"/>
  <sheetViews>
    <sheetView workbookViewId="0">
      <selection activeCell="C11" sqref="C11"/>
    </sheetView>
  </sheetViews>
  <sheetFormatPr defaultRowHeight="14.75" x14ac:dyDescent="0.75"/>
  <cols>
    <col min="1" max="1" width="12.31640625" customWidth="1"/>
    <col min="2" max="2" width="14" style="10" customWidth="1"/>
    <col min="3" max="4" width="13.453125" customWidth="1"/>
    <col min="5" max="5" width="15.453125" customWidth="1"/>
    <col min="6" max="6" width="18.81640625" customWidth="1"/>
  </cols>
  <sheetData>
    <row r="1" spans="1:7" x14ac:dyDescent="0.75">
      <c r="A1" s="12" t="s">
        <v>0</v>
      </c>
      <c r="B1" s="9" t="s">
        <v>458</v>
      </c>
      <c r="C1" s="11" t="s">
        <v>459</v>
      </c>
      <c r="D1" s="11" t="s">
        <v>460</v>
      </c>
      <c r="E1" s="13" t="s">
        <v>461</v>
      </c>
      <c r="F1" s="13" t="s">
        <v>462</v>
      </c>
    </row>
    <row r="2" spans="1:7" x14ac:dyDescent="0.75">
      <c r="A2" s="15" t="s">
        <v>36</v>
      </c>
      <c r="B2" s="10" t="s">
        <v>4</v>
      </c>
      <c r="C2" s="15" t="s">
        <v>39</v>
      </c>
      <c r="D2" s="15" t="s">
        <v>59</v>
      </c>
      <c r="E2" s="14">
        <v>46314</v>
      </c>
      <c r="F2" s="15" t="s">
        <v>463</v>
      </c>
      <c r="G2" s="10"/>
    </row>
    <row r="3" spans="1:7" x14ac:dyDescent="0.75">
      <c r="A3" s="15" t="s">
        <v>125</v>
      </c>
      <c r="B3" s="10" t="s">
        <v>4</v>
      </c>
      <c r="C3" s="15" t="s">
        <v>59</v>
      </c>
      <c r="D3" s="15" t="s">
        <v>39</v>
      </c>
      <c r="E3" s="14">
        <v>46314</v>
      </c>
      <c r="F3" s="15" t="s">
        <v>464</v>
      </c>
      <c r="G3" s="10"/>
    </row>
    <row r="4" spans="1:7" x14ac:dyDescent="0.75">
      <c r="A4" s="15" t="s">
        <v>236</v>
      </c>
      <c r="B4" s="10" t="s">
        <v>4</v>
      </c>
      <c r="C4" s="15" t="s">
        <v>118</v>
      </c>
      <c r="D4" s="15" t="s">
        <v>59</v>
      </c>
      <c r="E4" s="14">
        <v>46314</v>
      </c>
      <c r="F4" s="15" t="s">
        <v>465</v>
      </c>
      <c r="G4" s="10"/>
    </row>
    <row r="5" spans="1:7" x14ac:dyDescent="0.75">
      <c r="A5" s="15" t="s">
        <v>295</v>
      </c>
      <c r="B5" s="10" t="s">
        <v>4</v>
      </c>
      <c r="C5" s="15" t="s">
        <v>34</v>
      </c>
      <c r="D5" s="15" t="s">
        <v>39</v>
      </c>
      <c r="E5" s="14">
        <v>46314</v>
      </c>
      <c r="F5" s="15" t="s">
        <v>466</v>
      </c>
      <c r="G5" s="10"/>
    </row>
  </sheetData>
  <dataValidations count="2">
    <dataValidation type="list" allowBlank="1" sqref="C2:D5" xr:uid="{B58E2463-530A-41D8-B509-408833D31D1F}">
      <formula1>"Canada,US,UK,Europe,APAC,Offshore"</formula1>
    </dataValidation>
    <dataValidation type="date" operator="greaterThan" allowBlank="1" sqref="E2:E5" xr:uid="{48A8783F-E394-45FE-BF9E-9C3CDD0AC19F}">
      <formula1>DATE(2000,1,1)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1"/>
  <sheetViews>
    <sheetView workbookViewId="0">
      <selection activeCell="F200" sqref="F200"/>
    </sheetView>
  </sheetViews>
  <sheetFormatPr defaultRowHeight="14.75" x14ac:dyDescent="0.75"/>
  <cols>
    <col min="2" max="2" width="14.953125" customWidth="1"/>
    <col min="3" max="3" width="14.31640625" customWidth="1"/>
    <col min="12" max="12" width="21.08984375" customWidth="1"/>
  </cols>
  <sheetData>
    <row r="1" spans="1:13" x14ac:dyDescent="0.75">
      <c r="A1" t="s">
        <v>0</v>
      </c>
      <c r="B1" t="s">
        <v>469</v>
      </c>
      <c r="C1" t="s">
        <v>470</v>
      </c>
      <c r="D1" t="s">
        <v>471</v>
      </c>
      <c r="E1" t="s">
        <v>472</v>
      </c>
      <c r="F1" t="s">
        <v>473</v>
      </c>
      <c r="G1" t="s">
        <v>474</v>
      </c>
      <c r="H1" t="s">
        <v>475</v>
      </c>
      <c r="I1" t="s">
        <v>476</v>
      </c>
      <c r="J1" t="s">
        <v>477</v>
      </c>
      <c r="L1" t="s">
        <v>467</v>
      </c>
      <c r="M1" t="s">
        <v>468</v>
      </c>
    </row>
    <row r="2" spans="1:13" x14ac:dyDescent="0.75">
      <c r="A2" t="str">
        <f>Client_Master!A2</f>
        <v>CL0001</v>
      </c>
      <c r="B2">
        <f>VLOOKUP(Client_Master!E2,$L$2:$M$7,2,FALSE)</f>
        <v>0</v>
      </c>
      <c r="C2">
        <f>VLOOKUP(Client_Master!C2,$L$10:$M$14,2,FALSE)</f>
        <v>2</v>
      </c>
      <c r="L2" t="s">
        <v>15</v>
      </c>
      <c r="M2">
        <v>0</v>
      </c>
    </row>
    <row r="3" spans="1:13" x14ac:dyDescent="0.75">
      <c r="A3" t="str">
        <f>Client_Master!A3</f>
        <v>CL0002</v>
      </c>
      <c r="B3">
        <f>VLOOKUP(Client_Master!E3,$L$2:$M$7,2,FALSE)</f>
        <v>0</v>
      </c>
      <c r="C3">
        <f>VLOOKUP(Client_Master!C3,$L$10:$M$14,2,FALSE)</f>
        <v>0</v>
      </c>
      <c r="L3" t="s">
        <v>34</v>
      </c>
      <c r="M3">
        <v>0</v>
      </c>
    </row>
    <row r="4" spans="1:13" x14ac:dyDescent="0.75">
      <c r="A4" t="str">
        <f>Client_Master!A4</f>
        <v>CL0003</v>
      </c>
      <c r="B4">
        <f>VLOOKUP(Client_Master!E4,$L$2:$M$7,2,FALSE)</f>
        <v>1</v>
      </c>
      <c r="C4">
        <f>VLOOKUP(Client_Master!C4,$L$10:$M$14,2,FALSE)</f>
        <v>2</v>
      </c>
      <c r="L4" t="s">
        <v>118</v>
      </c>
      <c r="M4">
        <v>0</v>
      </c>
    </row>
    <row r="5" spans="1:13" x14ac:dyDescent="0.75">
      <c r="A5" t="str">
        <f>Client_Master!A5</f>
        <v>CL0004</v>
      </c>
      <c r="B5">
        <f>VLOOKUP(Client_Master!E5,$L$2:$M$7,2,FALSE)</f>
        <v>0</v>
      </c>
      <c r="C5">
        <f>VLOOKUP(Client_Master!C5,$L$10:$M$14,2,FALSE)</f>
        <v>2</v>
      </c>
      <c r="L5" t="s">
        <v>39</v>
      </c>
      <c r="M5">
        <v>1</v>
      </c>
    </row>
    <row r="6" spans="1:13" x14ac:dyDescent="0.75">
      <c r="A6" t="str">
        <f>Client_Master!A6</f>
        <v>CL0005</v>
      </c>
      <c r="B6">
        <f>VLOOKUP(Client_Master!E6,$L$2:$M$7,2,FALSE)</f>
        <v>0</v>
      </c>
      <c r="C6">
        <f>VLOOKUP(Client_Master!C6,$L$10:$M$14,2,FALSE)</f>
        <v>2</v>
      </c>
      <c r="L6" t="s">
        <v>59</v>
      </c>
      <c r="M6">
        <v>1</v>
      </c>
    </row>
    <row r="7" spans="1:13" x14ac:dyDescent="0.75">
      <c r="A7" t="str">
        <f>Client_Master!A7</f>
        <v>CL0006</v>
      </c>
      <c r="B7">
        <f>VLOOKUP(Client_Master!E7,$L$2:$M$7,2,FALSE)</f>
        <v>0</v>
      </c>
      <c r="C7">
        <f>VLOOKUP(Client_Master!C7,$L$10:$M$14,2,FALSE)</f>
        <v>0</v>
      </c>
      <c r="L7" t="s">
        <v>55</v>
      </c>
      <c r="M7">
        <v>3</v>
      </c>
    </row>
    <row r="8" spans="1:13" x14ac:dyDescent="0.75">
      <c r="A8" t="str">
        <f>Client_Master!A8</f>
        <v>CL0007</v>
      </c>
      <c r="B8">
        <f>VLOOKUP(Client_Master!E8,$L$2:$M$7,2,FALSE)</f>
        <v>0</v>
      </c>
      <c r="C8">
        <f>VLOOKUP(Client_Master!C8,$L$10:$M$14,2,FALSE)</f>
        <v>1</v>
      </c>
    </row>
    <row r="9" spans="1:13" x14ac:dyDescent="0.75">
      <c r="A9" t="str">
        <f>Client_Master!A9</f>
        <v>CL0008</v>
      </c>
      <c r="B9">
        <f>VLOOKUP(Client_Master!E9,$L$2:$M$7,2,FALSE)</f>
        <v>3</v>
      </c>
      <c r="C9">
        <f>VLOOKUP(Client_Master!C9,$L$10:$M$14,2,FALSE)</f>
        <v>2</v>
      </c>
      <c r="L9" t="s">
        <v>2</v>
      </c>
      <c r="M9" t="s">
        <v>468</v>
      </c>
    </row>
    <row r="10" spans="1:13" x14ac:dyDescent="0.75">
      <c r="A10" t="str">
        <f>Client_Master!A10</f>
        <v>CL0009</v>
      </c>
      <c r="B10">
        <f>VLOOKUP(Client_Master!E10,$L$2:$M$7,2,FALSE)</f>
        <v>1</v>
      </c>
      <c r="C10">
        <f>VLOOKUP(Client_Master!C10,$L$10:$M$14,2,FALSE)</f>
        <v>0</v>
      </c>
      <c r="L10" t="s">
        <v>47</v>
      </c>
      <c r="M10">
        <v>0</v>
      </c>
    </row>
    <row r="11" spans="1:13" x14ac:dyDescent="0.75">
      <c r="A11" t="str">
        <f>Client_Master!A11</f>
        <v>CL0010</v>
      </c>
      <c r="B11">
        <f>VLOOKUP(Client_Master!E11,$L$2:$M$7,2,FALSE)</f>
        <v>0</v>
      </c>
      <c r="C11">
        <f>VLOOKUP(Client_Master!C11,$L$10:$M$14,2,FALSE)</f>
        <v>0</v>
      </c>
      <c r="L11" t="s">
        <v>32</v>
      </c>
      <c r="M11">
        <v>0</v>
      </c>
    </row>
    <row r="12" spans="1:13" x14ac:dyDescent="0.75">
      <c r="A12" t="str">
        <f>Client_Master!A12</f>
        <v>CL0011</v>
      </c>
      <c r="B12">
        <f>VLOOKUP(Client_Master!E12,$L$2:$M$7,2,FALSE)</f>
        <v>3</v>
      </c>
      <c r="C12">
        <f>VLOOKUP(Client_Master!C12,$L$10:$M$14,2,FALSE)</f>
        <v>2</v>
      </c>
      <c r="L12" t="s">
        <v>50</v>
      </c>
      <c r="M12">
        <v>1</v>
      </c>
    </row>
    <row r="13" spans="1:13" x14ac:dyDescent="0.75">
      <c r="A13" t="str">
        <f>Client_Master!A13</f>
        <v>CL0012</v>
      </c>
      <c r="B13">
        <f>VLOOKUP(Client_Master!E13,$L$2:$M$7,2,FALSE)</f>
        <v>0</v>
      </c>
      <c r="C13">
        <f>VLOOKUP(Client_Master!C13,$L$10:$M$14,2,FALSE)</f>
        <v>1</v>
      </c>
      <c r="L13" t="s">
        <v>14</v>
      </c>
      <c r="M13">
        <v>2</v>
      </c>
    </row>
    <row r="14" spans="1:13" x14ac:dyDescent="0.75">
      <c r="A14" t="str">
        <f>Client_Master!A14</f>
        <v>CL0013</v>
      </c>
      <c r="B14">
        <f>VLOOKUP(Client_Master!E14,$L$2:$M$7,2,FALSE)</f>
        <v>0</v>
      </c>
      <c r="C14">
        <f>VLOOKUP(Client_Master!C14,$L$10:$M$14,2,FALSE)</f>
        <v>2</v>
      </c>
      <c r="L14" t="s">
        <v>64</v>
      </c>
      <c r="M14">
        <v>2</v>
      </c>
    </row>
    <row r="15" spans="1:13" x14ac:dyDescent="0.75">
      <c r="A15" t="str">
        <f>Client_Master!A15</f>
        <v>CL0014</v>
      </c>
      <c r="B15">
        <f>VLOOKUP(Client_Master!E15,$L$2:$M$7,2,FALSE)</f>
        <v>1</v>
      </c>
      <c r="C15">
        <f>VLOOKUP(Client_Master!C15,$L$10:$M$14,2,FALSE)</f>
        <v>0</v>
      </c>
    </row>
    <row r="16" spans="1:13" x14ac:dyDescent="0.75">
      <c r="A16" t="str">
        <f>Client_Master!A16</f>
        <v>CL0015</v>
      </c>
      <c r="B16">
        <f>VLOOKUP(Client_Master!E16,$L$2:$M$7,2,FALSE)</f>
        <v>3</v>
      </c>
      <c r="C16">
        <f>VLOOKUP(Client_Master!C16,$L$10:$M$14,2,FALSE)</f>
        <v>2</v>
      </c>
    </row>
    <row r="17" spans="1:3" x14ac:dyDescent="0.75">
      <c r="A17" t="str">
        <f>Client_Master!A17</f>
        <v>CL0016</v>
      </c>
      <c r="B17">
        <f>VLOOKUP(Client_Master!E17,$L$2:$M$7,2,FALSE)</f>
        <v>1</v>
      </c>
      <c r="C17">
        <f>VLOOKUP(Client_Master!C17,$L$10:$M$14,2,FALSE)</f>
        <v>2</v>
      </c>
    </row>
    <row r="18" spans="1:3" x14ac:dyDescent="0.75">
      <c r="A18" t="str">
        <f>Client_Master!A18</f>
        <v>CL0017</v>
      </c>
      <c r="B18">
        <f>VLOOKUP(Client_Master!E18,$L$2:$M$7,2,FALSE)</f>
        <v>0</v>
      </c>
      <c r="C18">
        <f>VLOOKUP(Client_Master!C18,$L$10:$M$14,2,FALSE)</f>
        <v>2</v>
      </c>
    </row>
    <row r="19" spans="1:3" x14ac:dyDescent="0.75">
      <c r="A19" t="str">
        <f>Client_Master!A19</f>
        <v>CL0018</v>
      </c>
      <c r="B19">
        <f>VLOOKUP(Client_Master!E19,$L$2:$M$7,2,FALSE)</f>
        <v>0</v>
      </c>
      <c r="C19">
        <f>VLOOKUP(Client_Master!C19,$L$10:$M$14,2,FALSE)</f>
        <v>0</v>
      </c>
    </row>
    <row r="20" spans="1:3" x14ac:dyDescent="0.75">
      <c r="A20" t="str">
        <f>Client_Master!A20</f>
        <v>CL0019</v>
      </c>
      <c r="B20">
        <f>VLOOKUP(Client_Master!E20,$L$2:$M$7,2,FALSE)</f>
        <v>0</v>
      </c>
      <c r="C20">
        <f>VLOOKUP(Client_Master!C20,$L$10:$M$14,2,FALSE)</f>
        <v>2</v>
      </c>
    </row>
    <row r="21" spans="1:3" x14ac:dyDescent="0.75">
      <c r="A21" t="str">
        <f>Client_Master!A21</f>
        <v>CL0020</v>
      </c>
      <c r="B21">
        <f>VLOOKUP(Client_Master!E21,$L$2:$M$7,2,FALSE)</f>
        <v>3</v>
      </c>
      <c r="C21">
        <f>VLOOKUP(Client_Master!C21,$L$10:$M$14,2,FALSE)</f>
        <v>2</v>
      </c>
    </row>
    <row r="22" spans="1:3" x14ac:dyDescent="0.75">
      <c r="A22" t="str">
        <f>Client_Master!A22</f>
        <v>CL0021</v>
      </c>
      <c r="B22">
        <f>VLOOKUP(Client_Master!E22,$L$2:$M$7,2,FALSE)</f>
        <v>0</v>
      </c>
      <c r="C22">
        <f>VLOOKUP(Client_Master!C22,$L$10:$M$14,2,FALSE)</f>
        <v>0</v>
      </c>
    </row>
    <row r="23" spans="1:3" x14ac:dyDescent="0.75">
      <c r="A23" t="str">
        <f>Client_Master!A23</f>
        <v>CL0022</v>
      </c>
      <c r="B23">
        <f>VLOOKUP(Client_Master!E23,$L$2:$M$7,2,FALSE)</f>
        <v>0</v>
      </c>
      <c r="C23">
        <f>VLOOKUP(Client_Master!C23,$L$10:$M$14,2,FALSE)</f>
        <v>2</v>
      </c>
    </row>
    <row r="24" spans="1:3" x14ac:dyDescent="0.75">
      <c r="A24" t="str">
        <f>Client_Master!A24</f>
        <v>CL0023</v>
      </c>
      <c r="B24">
        <f>VLOOKUP(Client_Master!E24,$L$2:$M$7,2,FALSE)</f>
        <v>1</v>
      </c>
      <c r="C24">
        <f>VLOOKUP(Client_Master!C24,$L$10:$M$14,2,FALSE)</f>
        <v>1</v>
      </c>
    </row>
    <row r="25" spans="1:3" x14ac:dyDescent="0.75">
      <c r="A25" t="str">
        <f>Client_Master!A25</f>
        <v>CL0024</v>
      </c>
      <c r="B25">
        <f>VLOOKUP(Client_Master!E25,$L$2:$M$7,2,FALSE)</f>
        <v>1</v>
      </c>
      <c r="C25">
        <f>VLOOKUP(Client_Master!C25,$L$10:$M$14,2,FALSE)</f>
        <v>2</v>
      </c>
    </row>
    <row r="26" spans="1:3" x14ac:dyDescent="0.75">
      <c r="A26" t="str">
        <f>Client_Master!A26</f>
        <v>CL0025</v>
      </c>
      <c r="B26">
        <f>VLOOKUP(Client_Master!E26,$L$2:$M$7,2,FALSE)</f>
        <v>0</v>
      </c>
      <c r="C26">
        <f>VLOOKUP(Client_Master!C26,$L$10:$M$14,2,FALSE)</f>
        <v>0</v>
      </c>
    </row>
    <row r="27" spans="1:3" x14ac:dyDescent="0.75">
      <c r="A27" t="str">
        <f>Client_Master!A27</f>
        <v>CL0026</v>
      </c>
      <c r="B27">
        <f>VLOOKUP(Client_Master!E27,$L$2:$M$7,2,FALSE)</f>
        <v>0</v>
      </c>
      <c r="C27">
        <f>VLOOKUP(Client_Master!C27,$L$10:$M$14,2,FALSE)</f>
        <v>1</v>
      </c>
    </row>
    <row r="28" spans="1:3" x14ac:dyDescent="0.75">
      <c r="A28" t="str">
        <f>Client_Master!A28</f>
        <v>CL0027</v>
      </c>
      <c r="B28">
        <f>VLOOKUP(Client_Master!E28,$L$2:$M$7,2,FALSE)</f>
        <v>0</v>
      </c>
      <c r="C28">
        <f>VLOOKUP(Client_Master!C28,$L$10:$M$14,2,FALSE)</f>
        <v>2</v>
      </c>
    </row>
    <row r="29" spans="1:3" x14ac:dyDescent="0.75">
      <c r="A29" t="str">
        <f>Client_Master!A29</f>
        <v>CL0028</v>
      </c>
      <c r="B29">
        <f>VLOOKUP(Client_Master!E29,$L$2:$M$7,2,FALSE)</f>
        <v>0</v>
      </c>
      <c r="C29">
        <f>VLOOKUP(Client_Master!C29,$L$10:$M$14,2,FALSE)</f>
        <v>2</v>
      </c>
    </row>
    <row r="30" spans="1:3" x14ac:dyDescent="0.75">
      <c r="A30" t="str">
        <f>Client_Master!A30</f>
        <v>CL0029</v>
      </c>
      <c r="B30">
        <f>VLOOKUP(Client_Master!E30,$L$2:$M$7,2,FALSE)</f>
        <v>0</v>
      </c>
      <c r="C30">
        <f>VLOOKUP(Client_Master!C30,$L$10:$M$14,2,FALSE)</f>
        <v>1</v>
      </c>
    </row>
    <row r="31" spans="1:3" x14ac:dyDescent="0.75">
      <c r="A31" t="str">
        <f>Client_Master!A31</f>
        <v>CL0030</v>
      </c>
      <c r="B31">
        <f>VLOOKUP(Client_Master!E31,$L$2:$M$7,2,FALSE)</f>
        <v>0</v>
      </c>
      <c r="C31">
        <f>VLOOKUP(Client_Master!C31,$L$10:$M$14,2,FALSE)</f>
        <v>0</v>
      </c>
    </row>
    <row r="32" spans="1:3" x14ac:dyDescent="0.75">
      <c r="A32" t="str">
        <f>Client_Master!A32</f>
        <v>CL0031</v>
      </c>
      <c r="B32">
        <f>VLOOKUP(Client_Master!E32,$L$2:$M$7,2,FALSE)</f>
        <v>0</v>
      </c>
      <c r="C32">
        <f>VLOOKUP(Client_Master!C32,$L$10:$M$14,2,FALSE)</f>
        <v>1</v>
      </c>
    </row>
    <row r="33" spans="1:3" x14ac:dyDescent="0.75">
      <c r="A33" t="str">
        <f>Client_Master!A33</f>
        <v>CL0032</v>
      </c>
      <c r="B33">
        <f>VLOOKUP(Client_Master!E33,$L$2:$M$7,2,FALSE)</f>
        <v>0</v>
      </c>
      <c r="C33">
        <f>VLOOKUP(Client_Master!C33,$L$10:$M$14,2,FALSE)</f>
        <v>2</v>
      </c>
    </row>
    <row r="34" spans="1:3" x14ac:dyDescent="0.75">
      <c r="A34" t="str">
        <f>Client_Master!A34</f>
        <v>CL0033</v>
      </c>
      <c r="B34">
        <f>VLOOKUP(Client_Master!E34,$L$2:$M$7,2,FALSE)</f>
        <v>0</v>
      </c>
      <c r="C34">
        <f>VLOOKUP(Client_Master!C34,$L$10:$M$14,2,FALSE)</f>
        <v>0</v>
      </c>
    </row>
    <row r="35" spans="1:3" x14ac:dyDescent="0.75">
      <c r="A35" t="str">
        <f>Client_Master!A35</f>
        <v>CL0034</v>
      </c>
      <c r="B35">
        <f>VLOOKUP(Client_Master!E35,$L$2:$M$7,2,FALSE)</f>
        <v>0</v>
      </c>
      <c r="C35">
        <f>VLOOKUP(Client_Master!C35,$L$10:$M$14,2,FALSE)</f>
        <v>0</v>
      </c>
    </row>
    <row r="36" spans="1:3" x14ac:dyDescent="0.75">
      <c r="A36" t="str">
        <f>Client_Master!A36</f>
        <v>CL0035</v>
      </c>
      <c r="B36">
        <f>VLOOKUP(Client_Master!E36,$L$2:$M$7,2,FALSE)</f>
        <v>0</v>
      </c>
      <c r="C36">
        <f>VLOOKUP(Client_Master!C36,$L$10:$M$14,2,FALSE)</f>
        <v>2</v>
      </c>
    </row>
    <row r="37" spans="1:3" x14ac:dyDescent="0.75">
      <c r="A37" t="str">
        <f>Client_Master!A37</f>
        <v>CL0036</v>
      </c>
      <c r="B37">
        <f>VLOOKUP(Client_Master!E37,$L$2:$M$7,2,FALSE)</f>
        <v>0</v>
      </c>
      <c r="C37">
        <f>VLOOKUP(Client_Master!C37,$L$10:$M$14,2,FALSE)</f>
        <v>2</v>
      </c>
    </row>
    <row r="38" spans="1:3" x14ac:dyDescent="0.75">
      <c r="A38" t="str">
        <f>Client_Master!A38</f>
        <v>CL0037</v>
      </c>
      <c r="B38">
        <f>VLOOKUP(Client_Master!E38,$L$2:$M$7,2,FALSE)</f>
        <v>0</v>
      </c>
      <c r="C38">
        <f>VLOOKUP(Client_Master!C38,$L$10:$M$14,2,FALSE)</f>
        <v>2</v>
      </c>
    </row>
    <row r="39" spans="1:3" x14ac:dyDescent="0.75">
      <c r="A39" t="str">
        <f>Client_Master!A39</f>
        <v>CL0038</v>
      </c>
      <c r="B39">
        <f>VLOOKUP(Client_Master!E39,$L$2:$M$7,2,FALSE)</f>
        <v>1</v>
      </c>
      <c r="C39">
        <f>VLOOKUP(Client_Master!C39,$L$10:$M$14,2,FALSE)</f>
        <v>1</v>
      </c>
    </row>
    <row r="40" spans="1:3" x14ac:dyDescent="0.75">
      <c r="A40" t="str">
        <f>Client_Master!A40</f>
        <v>CL0039</v>
      </c>
      <c r="B40">
        <f>VLOOKUP(Client_Master!E40,$L$2:$M$7,2,FALSE)</f>
        <v>1</v>
      </c>
      <c r="C40">
        <f>VLOOKUP(Client_Master!C40,$L$10:$M$14,2,FALSE)</f>
        <v>0</v>
      </c>
    </row>
    <row r="41" spans="1:3" x14ac:dyDescent="0.75">
      <c r="A41" t="str">
        <f>Client_Master!A41</f>
        <v>CL0040</v>
      </c>
      <c r="B41">
        <f>VLOOKUP(Client_Master!E41,$L$2:$M$7,2,FALSE)</f>
        <v>1</v>
      </c>
      <c r="C41">
        <f>VLOOKUP(Client_Master!C41,$L$10:$M$14,2,FALSE)</f>
        <v>0</v>
      </c>
    </row>
    <row r="42" spans="1:3" x14ac:dyDescent="0.75">
      <c r="A42" t="str">
        <f>Client_Master!A42</f>
        <v>CL0041</v>
      </c>
      <c r="B42">
        <f>VLOOKUP(Client_Master!E42,$L$2:$M$7,2,FALSE)</f>
        <v>1</v>
      </c>
      <c r="C42">
        <f>VLOOKUP(Client_Master!C42,$L$10:$M$14,2,FALSE)</f>
        <v>2</v>
      </c>
    </row>
    <row r="43" spans="1:3" x14ac:dyDescent="0.75">
      <c r="A43" t="str">
        <f>Client_Master!A43</f>
        <v>CL0042</v>
      </c>
      <c r="B43">
        <f>VLOOKUP(Client_Master!E43,$L$2:$M$7,2,FALSE)</f>
        <v>0</v>
      </c>
      <c r="C43">
        <f>VLOOKUP(Client_Master!C43,$L$10:$M$14,2,FALSE)</f>
        <v>2</v>
      </c>
    </row>
    <row r="44" spans="1:3" x14ac:dyDescent="0.75">
      <c r="A44" t="str">
        <f>Client_Master!A44</f>
        <v>CL0043</v>
      </c>
      <c r="B44">
        <f>VLOOKUP(Client_Master!E44,$L$2:$M$7,2,FALSE)</f>
        <v>1</v>
      </c>
      <c r="C44">
        <f>VLOOKUP(Client_Master!C44,$L$10:$M$14,2,FALSE)</f>
        <v>1</v>
      </c>
    </row>
    <row r="45" spans="1:3" x14ac:dyDescent="0.75">
      <c r="A45" t="str">
        <f>Client_Master!A45</f>
        <v>CL0044</v>
      </c>
      <c r="B45">
        <f>VLOOKUP(Client_Master!E45,$L$2:$M$7,2,FALSE)</f>
        <v>1</v>
      </c>
      <c r="C45">
        <f>VLOOKUP(Client_Master!C45,$L$10:$M$14,2,FALSE)</f>
        <v>2</v>
      </c>
    </row>
    <row r="46" spans="1:3" x14ac:dyDescent="0.75">
      <c r="A46" t="str">
        <f>Client_Master!A46</f>
        <v>CL0045</v>
      </c>
      <c r="B46">
        <f>VLOOKUP(Client_Master!E46,$L$2:$M$7,2,FALSE)</f>
        <v>0</v>
      </c>
      <c r="C46">
        <f>VLOOKUP(Client_Master!C46,$L$10:$M$14,2,FALSE)</f>
        <v>0</v>
      </c>
    </row>
    <row r="47" spans="1:3" x14ac:dyDescent="0.75">
      <c r="A47" t="str">
        <f>Client_Master!A47</f>
        <v>CL0046</v>
      </c>
      <c r="B47">
        <f>VLOOKUP(Client_Master!E47,$L$2:$M$7,2,FALSE)</f>
        <v>0</v>
      </c>
      <c r="C47">
        <f>VLOOKUP(Client_Master!C47,$L$10:$M$14,2,FALSE)</f>
        <v>2</v>
      </c>
    </row>
    <row r="48" spans="1:3" x14ac:dyDescent="0.75">
      <c r="A48" t="str">
        <f>Client_Master!A48</f>
        <v>CL0047</v>
      </c>
      <c r="B48">
        <f>VLOOKUP(Client_Master!E48,$L$2:$M$7,2,FALSE)</f>
        <v>0</v>
      </c>
      <c r="C48">
        <f>VLOOKUP(Client_Master!C48,$L$10:$M$14,2,FALSE)</f>
        <v>1</v>
      </c>
    </row>
    <row r="49" spans="1:3" x14ac:dyDescent="0.75">
      <c r="A49" t="str">
        <f>Client_Master!A49</f>
        <v>CL0048</v>
      </c>
      <c r="B49">
        <f>VLOOKUP(Client_Master!E49,$L$2:$M$7,2,FALSE)</f>
        <v>0</v>
      </c>
      <c r="C49">
        <f>VLOOKUP(Client_Master!C49,$L$10:$M$14,2,FALSE)</f>
        <v>2</v>
      </c>
    </row>
    <row r="50" spans="1:3" x14ac:dyDescent="0.75">
      <c r="A50" t="str">
        <f>Client_Master!A50</f>
        <v>CL0049</v>
      </c>
      <c r="B50">
        <f>VLOOKUP(Client_Master!E50,$L$2:$M$7,2,FALSE)</f>
        <v>0</v>
      </c>
      <c r="C50">
        <f>VLOOKUP(Client_Master!C50,$L$10:$M$14,2,FALSE)</f>
        <v>0</v>
      </c>
    </row>
    <row r="51" spans="1:3" x14ac:dyDescent="0.75">
      <c r="A51" t="str">
        <f>Client_Master!A51</f>
        <v>CL0050</v>
      </c>
      <c r="B51">
        <f>VLOOKUP(Client_Master!E51,$L$2:$M$7,2,FALSE)</f>
        <v>3</v>
      </c>
      <c r="C51">
        <f>VLOOKUP(Client_Master!C51,$L$10:$M$14,2,FALSE)</f>
        <v>2</v>
      </c>
    </row>
    <row r="52" spans="1:3" x14ac:dyDescent="0.75">
      <c r="A52" t="str">
        <f>Client_Master!A52</f>
        <v>CL0051</v>
      </c>
      <c r="B52">
        <f>VLOOKUP(Client_Master!E52,$L$2:$M$7,2,FALSE)</f>
        <v>1</v>
      </c>
      <c r="C52">
        <f>VLOOKUP(Client_Master!C52,$L$10:$M$14,2,FALSE)</f>
        <v>2</v>
      </c>
    </row>
    <row r="53" spans="1:3" x14ac:dyDescent="0.75">
      <c r="A53" t="str">
        <f>Client_Master!A53</f>
        <v>CL0052</v>
      </c>
      <c r="B53">
        <f>VLOOKUP(Client_Master!E53,$L$2:$M$7,2,FALSE)</f>
        <v>0</v>
      </c>
      <c r="C53">
        <f>VLOOKUP(Client_Master!C53,$L$10:$M$14,2,FALSE)</f>
        <v>1</v>
      </c>
    </row>
    <row r="54" spans="1:3" x14ac:dyDescent="0.75">
      <c r="A54" t="str">
        <f>Client_Master!A54</f>
        <v>CL0053</v>
      </c>
      <c r="B54">
        <f>VLOOKUP(Client_Master!E54,$L$2:$M$7,2,FALSE)</f>
        <v>0</v>
      </c>
      <c r="C54">
        <f>VLOOKUP(Client_Master!C54,$L$10:$M$14,2,FALSE)</f>
        <v>1</v>
      </c>
    </row>
    <row r="55" spans="1:3" x14ac:dyDescent="0.75">
      <c r="A55" t="str">
        <f>Client_Master!A55</f>
        <v>CL0054</v>
      </c>
      <c r="B55">
        <f>VLOOKUP(Client_Master!E55,$L$2:$M$7,2,FALSE)</f>
        <v>0</v>
      </c>
      <c r="C55">
        <f>VLOOKUP(Client_Master!C55,$L$10:$M$14,2,FALSE)</f>
        <v>1</v>
      </c>
    </row>
    <row r="56" spans="1:3" x14ac:dyDescent="0.75">
      <c r="A56" t="str">
        <f>Client_Master!A56</f>
        <v>CL0055</v>
      </c>
      <c r="B56">
        <f>VLOOKUP(Client_Master!E56,$L$2:$M$7,2,FALSE)</f>
        <v>0</v>
      </c>
      <c r="C56">
        <f>VLOOKUP(Client_Master!C56,$L$10:$M$14,2,FALSE)</f>
        <v>2</v>
      </c>
    </row>
    <row r="57" spans="1:3" x14ac:dyDescent="0.75">
      <c r="A57" t="str">
        <f>Client_Master!A57</f>
        <v>CL0056</v>
      </c>
      <c r="B57">
        <f>VLOOKUP(Client_Master!E57,$L$2:$M$7,2,FALSE)</f>
        <v>0</v>
      </c>
      <c r="C57">
        <f>VLOOKUP(Client_Master!C57,$L$10:$M$14,2,FALSE)</f>
        <v>2</v>
      </c>
    </row>
    <row r="58" spans="1:3" x14ac:dyDescent="0.75">
      <c r="A58" t="str">
        <f>Client_Master!A58</f>
        <v>CL0057</v>
      </c>
      <c r="B58">
        <f>VLOOKUP(Client_Master!E58,$L$2:$M$7,2,FALSE)</f>
        <v>3</v>
      </c>
      <c r="C58">
        <f>VLOOKUP(Client_Master!C58,$L$10:$M$14,2,FALSE)</f>
        <v>2</v>
      </c>
    </row>
    <row r="59" spans="1:3" x14ac:dyDescent="0.75">
      <c r="A59" t="str">
        <f>Client_Master!A59</f>
        <v>CL0058</v>
      </c>
      <c r="B59">
        <f>VLOOKUP(Client_Master!E59,$L$2:$M$7,2,FALSE)</f>
        <v>0</v>
      </c>
      <c r="C59">
        <f>VLOOKUP(Client_Master!C59,$L$10:$M$14,2,FALSE)</f>
        <v>1</v>
      </c>
    </row>
    <row r="60" spans="1:3" x14ac:dyDescent="0.75">
      <c r="A60" t="str">
        <f>Client_Master!A60</f>
        <v>CL0059</v>
      </c>
      <c r="B60">
        <f>VLOOKUP(Client_Master!E60,$L$2:$M$7,2,FALSE)</f>
        <v>0</v>
      </c>
      <c r="C60">
        <f>VLOOKUP(Client_Master!C60,$L$10:$M$14,2,FALSE)</f>
        <v>0</v>
      </c>
    </row>
    <row r="61" spans="1:3" x14ac:dyDescent="0.75">
      <c r="A61" t="str">
        <f>Client_Master!A61</f>
        <v>CL0060</v>
      </c>
      <c r="B61">
        <f>VLOOKUP(Client_Master!E61,$L$2:$M$7,2,FALSE)</f>
        <v>0</v>
      </c>
      <c r="C61">
        <f>VLOOKUP(Client_Master!C61,$L$10:$M$14,2,FALSE)</f>
        <v>1</v>
      </c>
    </row>
    <row r="62" spans="1:3" x14ac:dyDescent="0.75">
      <c r="A62" t="str">
        <f>Client_Master!A62</f>
        <v>CL0061</v>
      </c>
      <c r="B62">
        <f>VLOOKUP(Client_Master!E62,$L$2:$M$7,2,FALSE)</f>
        <v>0</v>
      </c>
      <c r="C62">
        <f>VLOOKUP(Client_Master!C62,$L$10:$M$14,2,FALSE)</f>
        <v>1</v>
      </c>
    </row>
    <row r="63" spans="1:3" x14ac:dyDescent="0.75">
      <c r="A63" t="str">
        <f>Client_Master!A63</f>
        <v>CL0062</v>
      </c>
      <c r="B63">
        <f>VLOOKUP(Client_Master!E63,$L$2:$M$7,2,FALSE)</f>
        <v>0</v>
      </c>
      <c r="C63">
        <f>VLOOKUP(Client_Master!C63,$L$10:$M$14,2,FALSE)</f>
        <v>1</v>
      </c>
    </row>
    <row r="64" spans="1:3" x14ac:dyDescent="0.75">
      <c r="A64" t="str">
        <f>Client_Master!A64</f>
        <v>CL0063</v>
      </c>
      <c r="B64">
        <f>VLOOKUP(Client_Master!E64,$L$2:$M$7,2,FALSE)</f>
        <v>0</v>
      </c>
      <c r="C64">
        <f>VLOOKUP(Client_Master!C64,$L$10:$M$14,2,FALSE)</f>
        <v>1</v>
      </c>
    </row>
    <row r="65" spans="1:3" x14ac:dyDescent="0.75">
      <c r="A65" t="str">
        <f>Client_Master!A65</f>
        <v>CL0064</v>
      </c>
      <c r="B65">
        <f>VLOOKUP(Client_Master!E65,$L$2:$M$7,2,FALSE)</f>
        <v>0</v>
      </c>
      <c r="C65">
        <f>VLOOKUP(Client_Master!C65,$L$10:$M$14,2,FALSE)</f>
        <v>2</v>
      </c>
    </row>
    <row r="66" spans="1:3" x14ac:dyDescent="0.75">
      <c r="A66" t="str">
        <f>Client_Master!A66</f>
        <v>CL0065</v>
      </c>
      <c r="B66">
        <f>VLOOKUP(Client_Master!E66,$L$2:$M$7,2,FALSE)</f>
        <v>3</v>
      </c>
      <c r="C66">
        <f>VLOOKUP(Client_Master!C66,$L$10:$M$14,2,FALSE)</f>
        <v>2</v>
      </c>
    </row>
    <row r="67" spans="1:3" x14ac:dyDescent="0.75">
      <c r="A67" t="str">
        <f>Client_Master!A67</f>
        <v>CL0066</v>
      </c>
      <c r="B67">
        <f>VLOOKUP(Client_Master!E67,$L$2:$M$7,2,FALSE)</f>
        <v>0</v>
      </c>
      <c r="C67">
        <f>VLOOKUP(Client_Master!C67,$L$10:$M$14,2,FALSE)</f>
        <v>2</v>
      </c>
    </row>
    <row r="68" spans="1:3" x14ac:dyDescent="0.75">
      <c r="A68" t="str">
        <f>Client_Master!A68</f>
        <v>CL0067</v>
      </c>
      <c r="B68">
        <f>VLOOKUP(Client_Master!E68,$L$2:$M$7,2,FALSE)</f>
        <v>0</v>
      </c>
      <c r="C68">
        <f>VLOOKUP(Client_Master!C68,$L$10:$M$14,2,FALSE)</f>
        <v>1</v>
      </c>
    </row>
    <row r="69" spans="1:3" x14ac:dyDescent="0.75">
      <c r="A69" t="str">
        <f>Client_Master!A69</f>
        <v>CL0068</v>
      </c>
      <c r="B69">
        <f>VLOOKUP(Client_Master!E69,$L$2:$M$7,2,FALSE)</f>
        <v>0</v>
      </c>
      <c r="C69">
        <f>VLOOKUP(Client_Master!C69,$L$10:$M$14,2,FALSE)</f>
        <v>1</v>
      </c>
    </row>
    <row r="70" spans="1:3" x14ac:dyDescent="0.75">
      <c r="A70" t="str">
        <f>Client_Master!A70</f>
        <v>CL0069</v>
      </c>
      <c r="B70">
        <f>VLOOKUP(Client_Master!E70,$L$2:$M$7,2,FALSE)</f>
        <v>0</v>
      </c>
      <c r="C70">
        <f>VLOOKUP(Client_Master!C70,$L$10:$M$14,2,FALSE)</f>
        <v>1</v>
      </c>
    </row>
    <row r="71" spans="1:3" x14ac:dyDescent="0.75">
      <c r="A71" t="str">
        <f>Client_Master!A71</f>
        <v>CL0070</v>
      </c>
      <c r="B71">
        <f>VLOOKUP(Client_Master!E71,$L$2:$M$7,2,FALSE)</f>
        <v>3</v>
      </c>
      <c r="C71">
        <f>VLOOKUP(Client_Master!C71,$L$10:$M$14,2,FALSE)</f>
        <v>0</v>
      </c>
    </row>
    <row r="72" spans="1:3" x14ac:dyDescent="0.75">
      <c r="A72" t="str">
        <f>Client_Master!A72</f>
        <v>CL0071</v>
      </c>
      <c r="B72">
        <f>VLOOKUP(Client_Master!E72,$L$2:$M$7,2,FALSE)</f>
        <v>0</v>
      </c>
      <c r="C72">
        <f>VLOOKUP(Client_Master!C72,$L$10:$M$14,2,FALSE)</f>
        <v>2</v>
      </c>
    </row>
    <row r="73" spans="1:3" x14ac:dyDescent="0.75">
      <c r="A73" t="str">
        <f>Client_Master!A73</f>
        <v>CL0072</v>
      </c>
      <c r="B73">
        <f>VLOOKUP(Client_Master!E73,$L$2:$M$7,2,FALSE)</f>
        <v>3</v>
      </c>
      <c r="C73">
        <f>VLOOKUP(Client_Master!C73,$L$10:$M$14,2,FALSE)</f>
        <v>2</v>
      </c>
    </row>
    <row r="74" spans="1:3" x14ac:dyDescent="0.75">
      <c r="A74" t="str">
        <f>Client_Master!A74</f>
        <v>CL0073</v>
      </c>
      <c r="B74">
        <f>VLOOKUP(Client_Master!E74,$L$2:$M$7,2,FALSE)</f>
        <v>0</v>
      </c>
      <c r="C74">
        <f>VLOOKUP(Client_Master!C74,$L$10:$M$14,2,FALSE)</f>
        <v>0</v>
      </c>
    </row>
    <row r="75" spans="1:3" x14ac:dyDescent="0.75">
      <c r="A75" t="str">
        <f>Client_Master!A75</f>
        <v>CL0074</v>
      </c>
      <c r="B75">
        <f>VLOOKUP(Client_Master!E75,$L$2:$M$7,2,FALSE)</f>
        <v>0</v>
      </c>
      <c r="C75">
        <f>VLOOKUP(Client_Master!C75,$L$10:$M$14,2,FALSE)</f>
        <v>1</v>
      </c>
    </row>
    <row r="76" spans="1:3" x14ac:dyDescent="0.75">
      <c r="A76" t="str">
        <f>Client_Master!A76</f>
        <v>CL0075</v>
      </c>
      <c r="B76">
        <f>VLOOKUP(Client_Master!E76,$L$2:$M$7,2,FALSE)</f>
        <v>0</v>
      </c>
      <c r="C76">
        <f>VLOOKUP(Client_Master!C76,$L$10:$M$14,2,FALSE)</f>
        <v>0</v>
      </c>
    </row>
    <row r="77" spans="1:3" x14ac:dyDescent="0.75">
      <c r="A77" t="str">
        <f>Client_Master!A77</f>
        <v>CL0076</v>
      </c>
      <c r="B77">
        <f>VLOOKUP(Client_Master!E77,$L$2:$M$7,2,FALSE)</f>
        <v>0</v>
      </c>
      <c r="C77">
        <f>VLOOKUP(Client_Master!C77,$L$10:$M$14,2,FALSE)</f>
        <v>2</v>
      </c>
    </row>
    <row r="78" spans="1:3" x14ac:dyDescent="0.75">
      <c r="A78" t="str">
        <f>Client_Master!A78</f>
        <v>CL0077</v>
      </c>
      <c r="B78">
        <f>VLOOKUP(Client_Master!E78,$L$2:$M$7,2,FALSE)</f>
        <v>0</v>
      </c>
      <c r="C78">
        <f>VLOOKUP(Client_Master!C78,$L$10:$M$14,2,FALSE)</f>
        <v>0</v>
      </c>
    </row>
    <row r="79" spans="1:3" x14ac:dyDescent="0.75">
      <c r="A79" t="str">
        <f>Client_Master!A79</f>
        <v>CL0078</v>
      </c>
      <c r="B79">
        <f>VLOOKUP(Client_Master!E79,$L$2:$M$7,2,FALSE)</f>
        <v>0</v>
      </c>
      <c r="C79">
        <f>VLOOKUP(Client_Master!C79,$L$10:$M$14,2,FALSE)</f>
        <v>0</v>
      </c>
    </row>
    <row r="80" spans="1:3" x14ac:dyDescent="0.75">
      <c r="A80" t="str">
        <f>Client_Master!A80</f>
        <v>CL0079</v>
      </c>
      <c r="B80">
        <f>VLOOKUP(Client_Master!E80,$L$2:$M$7,2,FALSE)</f>
        <v>3</v>
      </c>
      <c r="C80">
        <f>VLOOKUP(Client_Master!C80,$L$10:$M$14,2,FALSE)</f>
        <v>0</v>
      </c>
    </row>
    <row r="81" spans="1:3" x14ac:dyDescent="0.75">
      <c r="A81" t="str">
        <f>Client_Master!A81</f>
        <v>CL0080</v>
      </c>
      <c r="B81">
        <f>VLOOKUP(Client_Master!E81,$L$2:$M$7,2,FALSE)</f>
        <v>0</v>
      </c>
      <c r="C81">
        <f>VLOOKUP(Client_Master!C81,$L$10:$M$14,2,FALSE)</f>
        <v>2</v>
      </c>
    </row>
    <row r="82" spans="1:3" x14ac:dyDescent="0.75">
      <c r="A82" t="str">
        <f>Client_Master!A82</f>
        <v>CL0081</v>
      </c>
      <c r="B82">
        <f>VLOOKUP(Client_Master!E82,$L$2:$M$7,2,FALSE)</f>
        <v>0</v>
      </c>
      <c r="C82">
        <f>VLOOKUP(Client_Master!C82,$L$10:$M$14,2,FALSE)</f>
        <v>0</v>
      </c>
    </row>
    <row r="83" spans="1:3" x14ac:dyDescent="0.75">
      <c r="A83" t="str">
        <f>Client_Master!A83</f>
        <v>CL0082</v>
      </c>
      <c r="B83">
        <f>VLOOKUP(Client_Master!E83,$L$2:$M$7,2,FALSE)</f>
        <v>0</v>
      </c>
      <c r="C83">
        <f>VLOOKUP(Client_Master!C83,$L$10:$M$14,2,FALSE)</f>
        <v>2</v>
      </c>
    </row>
    <row r="84" spans="1:3" x14ac:dyDescent="0.75">
      <c r="A84" t="str">
        <f>Client_Master!A84</f>
        <v>CL0083</v>
      </c>
      <c r="B84">
        <f>VLOOKUP(Client_Master!E84,$L$2:$M$7,2,FALSE)</f>
        <v>0</v>
      </c>
      <c r="C84">
        <f>VLOOKUP(Client_Master!C84,$L$10:$M$14,2,FALSE)</f>
        <v>2</v>
      </c>
    </row>
    <row r="85" spans="1:3" x14ac:dyDescent="0.75">
      <c r="A85" t="str">
        <f>Client_Master!A85</f>
        <v>CL0084</v>
      </c>
      <c r="B85">
        <f>VLOOKUP(Client_Master!E85,$L$2:$M$7,2,FALSE)</f>
        <v>3</v>
      </c>
      <c r="C85">
        <f>VLOOKUP(Client_Master!C85,$L$10:$M$14,2,FALSE)</f>
        <v>2</v>
      </c>
    </row>
    <row r="86" spans="1:3" x14ac:dyDescent="0.75">
      <c r="A86" t="str">
        <f>Client_Master!A86</f>
        <v>CL0085</v>
      </c>
      <c r="B86">
        <f>VLOOKUP(Client_Master!E86,$L$2:$M$7,2,FALSE)</f>
        <v>0</v>
      </c>
      <c r="C86">
        <f>VLOOKUP(Client_Master!C86,$L$10:$M$14,2,FALSE)</f>
        <v>1</v>
      </c>
    </row>
    <row r="87" spans="1:3" x14ac:dyDescent="0.75">
      <c r="A87" t="str">
        <f>Client_Master!A87</f>
        <v>CL0086</v>
      </c>
      <c r="B87">
        <f>VLOOKUP(Client_Master!E87,$L$2:$M$7,2,FALSE)</f>
        <v>0</v>
      </c>
      <c r="C87">
        <f>VLOOKUP(Client_Master!C87,$L$10:$M$14,2,FALSE)</f>
        <v>1</v>
      </c>
    </row>
    <row r="88" spans="1:3" x14ac:dyDescent="0.75">
      <c r="A88" t="str">
        <f>Client_Master!A88</f>
        <v>CL0087</v>
      </c>
      <c r="B88">
        <f>VLOOKUP(Client_Master!E88,$L$2:$M$7,2,FALSE)</f>
        <v>0</v>
      </c>
      <c r="C88">
        <f>VLOOKUP(Client_Master!C88,$L$10:$M$14,2,FALSE)</f>
        <v>0</v>
      </c>
    </row>
    <row r="89" spans="1:3" x14ac:dyDescent="0.75">
      <c r="A89" t="str">
        <f>Client_Master!A89</f>
        <v>CL0088</v>
      </c>
      <c r="B89">
        <f>VLOOKUP(Client_Master!E89,$L$2:$M$7,2,FALSE)</f>
        <v>0</v>
      </c>
      <c r="C89">
        <f>VLOOKUP(Client_Master!C89,$L$10:$M$14,2,FALSE)</f>
        <v>0</v>
      </c>
    </row>
    <row r="90" spans="1:3" x14ac:dyDescent="0.75">
      <c r="A90" t="str">
        <f>Client_Master!A90</f>
        <v>CL0089</v>
      </c>
      <c r="B90">
        <f>VLOOKUP(Client_Master!E90,$L$2:$M$7,2,FALSE)</f>
        <v>0</v>
      </c>
      <c r="C90">
        <f>VLOOKUP(Client_Master!C90,$L$10:$M$14,2,FALSE)</f>
        <v>1</v>
      </c>
    </row>
    <row r="91" spans="1:3" x14ac:dyDescent="0.75">
      <c r="A91" t="str">
        <f>Client_Master!A91</f>
        <v>CL0090</v>
      </c>
      <c r="B91">
        <f>VLOOKUP(Client_Master!E91,$L$2:$M$7,2,FALSE)</f>
        <v>0</v>
      </c>
      <c r="C91">
        <f>VLOOKUP(Client_Master!C91,$L$10:$M$14,2,FALSE)</f>
        <v>1</v>
      </c>
    </row>
    <row r="92" spans="1:3" x14ac:dyDescent="0.75">
      <c r="A92" t="str">
        <f>Client_Master!A92</f>
        <v>CL0091</v>
      </c>
      <c r="B92">
        <f>VLOOKUP(Client_Master!E92,$L$2:$M$7,2,FALSE)</f>
        <v>1</v>
      </c>
      <c r="C92">
        <f>VLOOKUP(Client_Master!C92,$L$10:$M$14,2,FALSE)</f>
        <v>1</v>
      </c>
    </row>
    <row r="93" spans="1:3" x14ac:dyDescent="0.75">
      <c r="A93" t="str">
        <f>Client_Master!A93</f>
        <v>CL0092</v>
      </c>
      <c r="B93">
        <f>VLOOKUP(Client_Master!E93,$L$2:$M$7,2,FALSE)</f>
        <v>1</v>
      </c>
      <c r="C93">
        <f>VLOOKUP(Client_Master!C93,$L$10:$M$14,2,FALSE)</f>
        <v>1</v>
      </c>
    </row>
    <row r="94" spans="1:3" x14ac:dyDescent="0.75">
      <c r="A94" t="str">
        <f>Client_Master!A94</f>
        <v>CL0093</v>
      </c>
      <c r="B94">
        <f>VLOOKUP(Client_Master!E94,$L$2:$M$7,2,FALSE)</f>
        <v>1</v>
      </c>
      <c r="C94">
        <f>VLOOKUP(Client_Master!C94,$L$10:$M$14,2,FALSE)</f>
        <v>0</v>
      </c>
    </row>
    <row r="95" spans="1:3" x14ac:dyDescent="0.75">
      <c r="A95" t="str">
        <f>Client_Master!A95</f>
        <v>CL0094</v>
      </c>
      <c r="B95">
        <f>VLOOKUP(Client_Master!E95,$L$2:$M$7,2,FALSE)</f>
        <v>0</v>
      </c>
      <c r="C95">
        <f>VLOOKUP(Client_Master!C95,$L$10:$M$14,2,FALSE)</f>
        <v>1</v>
      </c>
    </row>
    <row r="96" spans="1:3" x14ac:dyDescent="0.75">
      <c r="A96" t="str">
        <f>Client_Master!A96</f>
        <v>CL0095</v>
      </c>
      <c r="B96">
        <f>VLOOKUP(Client_Master!E96,$L$2:$M$7,2,FALSE)</f>
        <v>0</v>
      </c>
      <c r="C96">
        <f>VLOOKUP(Client_Master!C96,$L$10:$M$14,2,FALSE)</f>
        <v>1</v>
      </c>
    </row>
    <row r="97" spans="1:3" x14ac:dyDescent="0.75">
      <c r="A97" t="str">
        <f>Client_Master!A97</f>
        <v>CL0096</v>
      </c>
      <c r="B97">
        <f>VLOOKUP(Client_Master!E97,$L$2:$M$7,2,FALSE)</f>
        <v>3</v>
      </c>
      <c r="C97">
        <f>VLOOKUP(Client_Master!C97,$L$10:$M$14,2,FALSE)</f>
        <v>2</v>
      </c>
    </row>
    <row r="98" spans="1:3" x14ac:dyDescent="0.75">
      <c r="A98" t="str">
        <f>Client_Master!A98</f>
        <v>CL0097</v>
      </c>
      <c r="B98">
        <f>VLOOKUP(Client_Master!E98,$L$2:$M$7,2,FALSE)</f>
        <v>0</v>
      </c>
      <c r="C98">
        <f>VLOOKUP(Client_Master!C98,$L$10:$M$14,2,FALSE)</f>
        <v>1</v>
      </c>
    </row>
    <row r="99" spans="1:3" x14ac:dyDescent="0.75">
      <c r="A99" t="str">
        <f>Client_Master!A99</f>
        <v>CL0098</v>
      </c>
      <c r="B99">
        <f>VLOOKUP(Client_Master!E99,$L$2:$M$7,2,FALSE)</f>
        <v>0</v>
      </c>
      <c r="C99">
        <f>VLOOKUP(Client_Master!C99,$L$10:$M$14,2,FALSE)</f>
        <v>0</v>
      </c>
    </row>
    <row r="100" spans="1:3" x14ac:dyDescent="0.75">
      <c r="A100" t="str">
        <f>Client_Master!A100</f>
        <v>CL0099</v>
      </c>
      <c r="B100">
        <f>VLOOKUP(Client_Master!E100,$L$2:$M$7,2,FALSE)</f>
        <v>1</v>
      </c>
      <c r="C100">
        <f>VLOOKUP(Client_Master!C100,$L$10:$M$14,2,FALSE)</f>
        <v>1</v>
      </c>
    </row>
    <row r="101" spans="1:3" x14ac:dyDescent="0.75">
      <c r="A101" t="str">
        <f>Client_Master!A101</f>
        <v>CL0100</v>
      </c>
      <c r="B101">
        <f>VLOOKUP(Client_Master!E101,$L$2:$M$7,2,FALSE)</f>
        <v>3</v>
      </c>
      <c r="C101">
        <f>VLOOKUP(Client_Master!C101,$L$10:$M$14,2,FALSE)</f>
        <v>2</v>
      </c>
    </row>
    <row r="102" spans="1:3" x14ac:dyDescent="0.75">
      <c r="A102" t="str">
        <f>Client_Master!A102</f>
        <v>CL0101</v>
      </c>
      <c r="B102">
        <f>VLOOKUP(Client_Master!E102,$L$2:$M$7,2,FALSE)</f>
        <v>1</v>
      </c>
      <c r="C102">
        <f>VLOOKUP(Client_Master!C102,$L$10:$M$14,2,FALSE)</f>
        <v>2</v>
      </c>
    </row>
    <row r="103" spans="1:3" x14ac:dyDescent="0.75">
      <c r="A103" t="str">
        <f>Client_Master!A103</f>
        <v>CL0102</v>
      </c>
      <c r="B103">
        <f>VLOOKUP(Client_Master!E103,$L$2:$M$7,2,FALSE)</f>
        <v>1</v>
      </c>
      <c r="C103">
        <f>VLOOKUP(Client_Master!C103,$L$10:$M$14,2,FALSE)</f>
        <v>2</v>
      </c>
    </row>
    <row r="104" spans="1:3" x14ac:dyDescent="0.75">
      <c r="A104" t="str">
        <f>Client_Master!A104</f>
        <v>CL0103</v>
      </c>
      <c r="B104">
        <f>VLOOKUP(Client_Master!E104,$L$2:$M$7,2,FALSE)</f>
        <v>0</v>
      </c>
      <c r="C104">
        <f>VLOOKUP(Client_Master!C104,$L$10:$M$14,2,FALSE)</f>
        <v>1</v>
      </c>
    </row>
    <row r="105" spans="1:3" x14ac:dyDescent="0.75">
      <c r="A105" t="str">
        <f>Client_Master!A105</f>
        <v>CL0104</v>
      </c>
      <c r="B105">
        <f>VLOOKUP(Client_Master!E105,$L$2:$M$7,2,FALSE)</f>
        <v>0</v>
      </c>
      <c r="C105">
        <f>VLOOKUP(Client_Master!C105,$L$10:$M$14,2,FALSE)</f>
        <v>0</v>
      </c>
    </row>
    <row r="106" spans="1:3" x14ac:dyDescent="0.75">
      <c r="A106" t="str">
        <f>Client_Master!A106</f>
        <v>CL0105</v>
      </c>
      <c r="B106">
        <f>VLOOKUP(Client_Master!E106,$L$2:$M$7,2,FALSE)</f>
        <v>1</v>
      </c>
      <c r="C106">
        <f>VLOOKUP(Client_Master!C106,$L$10:$M$14,2,FALSE)</f>
        <v>1</v>
      </c>
    </row>
    <row r="107" spans="1:3" x14ac:dyDescent="0.75">
      <c r="A107" t="str">
        <f>Client_Master!A107</f>
        <v>CL0106</v>
      </c>
      <c r="B107">
        <f>VLOOKUP(Client_Master!E107,$L$2:$M$7,2,FALSE)</f>
        <v>0</v>
      </c>
      <c r="C107">
        <f>VLOOKUP(Client_Master!C107,$L$10:$M$14,2,FALSE)</f>
        <v>1</v>
      </c>
    </row>
    <row r="108" spans="1:3" x14ac:dyDescent="0.75">
      <c r="A108" t="str">
        <f>Client_Master!A108</f>
        <v>CL0107</v>
      </c>
      <c r="B108">
        <f>VLOOKUP(Client_Master!E108,$L$2:$M$7,2,FALSE)</f>
        <v>1</v>
      </c>
      <c r="C108">
        <f>VLOOKUP(Client_Master!C108,$L$10:$M$14,2,FALSE)</f>
        <v>0</v>
      </c>
    </row>
    <row r="109" spans="1:3" x14ac:dyDescent="0.75">
      <c r="A109" t="str">
        <f>Client_Master!A109</f>
        <v>CL0108</v>
      </c>
      <c r="B109">
        <f>VLOOKUP(Client_Master!E109,$L$2:$M$7,2,FALSE)</f>
        <v>0</v>
      </c>
      <c r="C109">
        <f>VLOOKUP(Client_Master!C109,$L$10:$M$14,2,FALSE)</f>
        <v>2</v>
      </c>
    </row>
    <row r="110" spans="1:3" x14ac:dyDescent="0.75">
      <c r="A110" t="str">
        <f>Client_Master!A110</f>
        <v>CL0109</v>
      </c>
      <c r="B110">
        <f>VLOOKUP(Client_Master!E110,$L$2:$M$7,2,FALSE)</f>
        <v>1</v>
      </c>
      <c r="C110">
        <f>VLOOKUP(Client_Master!C110,$L$10:$M$14,2,FALSE)</f>
        <v>1</v>
      </c>
    </row>
    <row r="111" spans="1:3" x14ac:dyDescent="0.75">
      <c r="A111" t="str">
        <f>Client_Master!A111</f>
        <v>CL0110</v>
      </c>
      <c r="B111">
        <f>VLOOKUP(Client_Master!E111,$L$2:$M$7,2,FALSE)</f>
        <v>0</v>
      </c>
      <c r="C111">
        <f>VLOOKUP(Client_Master!C111,$L$10:$M$14,2,FALSE)</f>
        <v>1</v>
      </c>
    </row>
    <row r="112" spans="1:3" x14ac:dyDescent="0.75">
      <c r="A112" t="str">
        <f>Client_Master!A112</f>
        <v>CL0111</v>
      </c>
      <c r="B112">
        <f>VLOOKUP(Client_Master!E112,$L$2:$M$7,2,FALSE)</f>
        <v>1</v>
      </c>
      <c r="C112">
        <f>VLOOKUP(Client_Master!C112,$L$10:$M$14,2,FALSE)</f>
        <v>2</v>
      </c>
    </row>
    <row r="113" spans="1:3" x14ac:dyDescent="0.75">
      <c r="A113" t="str">
        <f>Client_Master!A113</f>
        <v>CL0112</v>
      </c>
      <c r="B113">
        <f>VLOOKUP(Client_Master!E113,$L$2:$M$7,2,FALSE)</f>
        <v>3</v>
      </c>
      <c r="C113">
        <f>VLOOKUP(Client_Master!C113,$L$10:$M$14,2,FALSE)</f>
        <v>2</v>
      </c>
    </row>
    <row r="114" spans="1:3" x14ac:dyDescent="0.75">
      <c r="A114" t="str">
        <f>Client_Master!A114</f>
        <v>CL0113</v>
      </c>
      <c r="B114">
        <f>VLOOKUP(Client_Master!E114,$L$2:$M$7,2,FALSE)</f>
        <v>0</v>
      </c>
      <c r="C114">
        <f>VLOOKUP(Client_Master!C114,$L$10:$M$14,2,FALSE)</f>
        <v>2</v>
      </c>
    </row>
    <row r="115" spans="1:3" x14ac:dyDescent="0.75">
      <c r="A115" t="str">
        <f>Client_Master!A115</f>
        <v>CL0114</v>
      </c>
      <c r="B115">
        <f>VLOOKUP(Client_Master!E115,$L$2:$M$7,2,FALSE)</f>
        <v>0</v>
      </c>
      <c r="C115">
        <f>VLOOKUP(Client_Master!C115,$L$10:$M$14,2,FALSE)</f>
        <v>2</v>
      </c>
    </row>
    <row r="116" spans="1:3" x14ac:dyDescent="0.75">
      <c r="A116" t="str">
        <f>Client_Master!A116</f>
        <v>CL0115</v>
      </c>
      <c r="B116">
        <f>VLOOKUP(Client_Master!E116,$L$2:$M$7,2,FALSE)</f>
        <v>0</v>
      </c>
      <c r="C116">
        <f>VLOOKUP(Client_Master!C116,$L$10:$M$14,2,FALSE)</f>
        <v>1</v>
      </c>
    </row>
    <row r="117" spans="1:3" x14ac:dyDescent="0.75">
      <c r="A117" t="str">
        <f>Client_Master!A117</f>
        <v>CL0116</v>
      </c>
      <c r="B117">
        <f>VLOOKUP(Client_Master!E117,$L$2:$M$7,2,FALSE)</f>
        <v>0</v>
      </c>
      <c r="C117">
        <f>VLOOKUP(Client_Master!C117,$L$10:$M$14,2,FALSE)</f>
        <v>2</v>
      </c>
    </row>
    <row r="118" spans="1:3" x14ac:dyDescent="0.75">
      <c r="A118" t="str">
        <f>Client_Master!A118</f>
        <v>CL0117</v>
      </c>
      <c r="B118">
        <f>VLOOKUP(Client_Master!E118,$L$2:$M$7,2,FALSE)</f>
        <v>1</v>
      </c>
      <c r="C118">
        <f>VLOOKUP(Client_Master!C118,$L$10:$M$14,2,FALSE)</f>
        <v>0</v>
      </c>
    </row>
    <row r="119" spans="1:3" x14ac:dyDescent="0.75">
      <c r="A119" t="str">
        <f>Client_Master!A119</f>
        <v>CL0118</v>
      </c>
      <c r="B119">
        <f>VLOOKUP(Client_Master!E119,$L$2:$M$7,2,FALSE)</f>
        <v>0</v>
      </c>
      <c r="C119">
        <f>VLOOKUP(Client_Master!C119,$L$10:$M$14,2,FALSE)</f>
        <v>2</v>
      </c>
    </row>
    <row r="120" spans="1:3" x14ac:dyDescent="0.75">
      <c r="A120" t="str">
        <f>Client_Master!A120</f>
        <v>CL0119</v>
      </c>
      <c r="B120">
        <f>VLOOKUP(Client_Master!E120,$L$2:$M$7,2,FALSE)</f>
        <v>0</v>
      </c>
      <c r="C120">
        <f>VLOOKUP(Client_Master!C120,$L$10:$M$14,2,FALSE)</f>
        <v>2</v>
      </c>
    </row>
    <row r="121" spans="1:3" x14ac:dyDescent="0.75">
      <c r="A121" t="str">
        <f>Client_Master!A121</f>
        <v>CL0120</v>
      </c>
      <c r="B121">
        <f>VLOOKUP(Client_Master!E121,$L$2:$M$7,2,FALSE)</f>
        <v>1</v>
      </c>
      <c r="C121">
        <f>VLOOKUP(Client_Master!C121,$L$10:$M$14,2,FALSE)</f>
        <v>2</v>
      </c>
    </row>
    <row r="122" spans="1:3" x14ac:dyDescent="0.75">
      <c r="A122" t="str">
        <f>Client_Master!A122</f>
        <v>CL0121</v>
      </c>
      <c r="B122">
        <f>VLOOKUP(Client_Master!E122,$L$2:$M$7,2,FALSE)</f>
        <v>1</v>
      </c>
      <c r="C122">
        <f>VLOOKUP(Client_Master!C122,$L$10:$M$14,2,FALSE)</f>
        <v>1</v>
      </c>
    </row>
    <row r="123" spans="1:3" x14ac:dyDescent="0.75">
      <c r="A123" t="str">
        <f>Client_Master!A123</f>
        <v>CL0122</v>
      </c>
      <c r="B123">
        <f>VLOOKUP(Client_Master!E123,$L$2:$M$7,2,FALSE)</f>
        <v>0</v>
      </c>
      <c r="C123">
        <f>VLOOKUP(Client_Master!C123,$L$10:$M$14,2,FALSE)</f>
        <v>1</v>
      </c>
    </row>
    <row r="124" spans="1:3" x14ac:dyDescent="0.75">
      <c r="A124" t="str">
        <f>Client_Master!A124</f>
        <v>CL0123</v>
      </c>
      <c r="B124">
        <f>VLOOKUP(Client_Master!E124,$L$2:$M$7,2,FALSE)</f>
        <v>3</v>
      </c>
      <c r="C124">
        <f>VLOOKUP(Client_Master!C124,$L$10:$M$14,2,FALSE)</f>
        <v>2</v>
      </c>
    </row>
    <row r="125" spans="1:3" x14ac:dyDescent="0.75">
      <c r="A125" t="str">
        <f>Client_Master!A125</f>
        <v>CL0124</v>
      </c>
      <c r="B125">
        <f>VLOOKUP(Client_Master!E125,$L$2:$M$7,2,FALSE)</f>
        <v>0</v>
      </c>
      <c r="C125">
        <f>VLOOKUP(Client_Master!C125,$L$10:$M$14,2,FALSE)</f>
        <v>0</v>
      </c>
    </row>
    <row r="126" spans="1:3" x14ac:dyDescent="0.75">
      <c r="A126" t="str">
        <f>Client_Master!A126</f>
        <v>CL0125</v>
      </c>
      <c r="B126">
        <f>VLOOKUP(Client_Master!E126,$L$2:$M$7,2,FALSE)</f>
        <v>0</v>
      </c>
      <c r="C126">
        <f>VLOOKUP(Client_Master!C126,$L$10:$M$14,2,FALSE)</f>
        <v>1</v>
      </c>
    </row>
    <row r="127" spans="1:3" x14ac:dyDescent="0.75">
      <c r="A127" t="str">
        <f>Client_Master!A127</f>
        <v>CL0126</v>
      </c>
      <c r="B127">
        <f>VLOOKUP(Client_Master!E127,$L$2:$M$7,2,FALSE)</f>
        <v>0</v>
      </c>
      <c r="C127">
        <f>VLOOKUP(Client_Master!C127,$L$10:$M$14,2,FALSE)</f>
        <v>0</v>
      </c>
    </row>
    <row r="128" spans="1:3" x14ac:dyDescent="0.75">
      <c r="A128" t="str">
        <f>Client_Master!A128</f>
        <v>CL0127</v>
      </c>
      <c r="B128">
        <f>VLOOKUP(Client_Master!E128,$L$2:$M$7,2,FALSE)</f>
        <v>0</v>
      </c>
      <c r="C128">
        <f>VLOOKUP(Client_Master!C128,$L$10:$M$14,2,FALSE)</f>
        <v>2</v>
      </c>
    </row>
    <row r="129" spans="1:3" x14ac:dyDescent="0.75">
      <c r="A129" t="str">
        <f>Client_Master!A129</f>
        <v>CL0128</v>
      </c>
      <c r="B129">
        <f>VLOOKUP(Client_Master!E129,$L$2:$M$7,2,FALSE)</f>
        <v>0</v>
      </c>
      <c r="C129">
        <f>VLOOKUP(Client_Master!C129,$L$10:$M$14,2,FALSE)</f>
        <v>0</v>
      </c>
    </row>
    <row r="130" spans="1:3" x14ac:dyDescent="0.75">
      <c r="A130" t="str">
        <f>Client_Master!A130</f>
        <v>CL0129</v>
      </c>
      <c r="B130">
        <f>VLOOKUP(Client_Master!E130,$L$2:$M$7,2,FALSE)</f>
        <v>0</v>
      </c>
      <c r="C130">
        <f>VLOOKUP(Client_Master!C130,$L$10:$M$14,2,FALSE)</f>
        <v>2</v>
      </c>
    </row>
    <row r="131" spans="1:3" x14ac:dyDescent="0.75">
      <c r="A131" t="str">
        <f>Client_Master!A131</f>
        <v>CL0130</v>
      </c>
      <c r="B131">
        <f>VLOOKUP(Client_Master!E131,$L$2:$M$7,2,FALSE)</f>
        <v>1</v>
      </c>
      <c r="C131">
        <f>VLOOKUP(Client_Master!C131,$L$10:$M$14,2,FALSE)</f>
        <v>1</v>
      </c>
    </row>
    <row r="132" spans="1:3" x14ac:dyDescent="0.75">
      <c r="A132" t="str">
        <f>Client_Master!A132</f>
        <v>CL0131</v>
      </c>
      <c r="B132">
        <f>VLOOKUP(Client_Master!E132,$L$2:$M$7,2,FALSE)</f>
        <v>1</v>
      </c>
      <c r="C132">
        <f>VLOOKUP(Client_Master!C132,$L$10:$M$14,2,FALSE)</f>
        <v>2</v>
      </c>
    </row>
    <row r="133" spans="1:3" x14ac:dyDescent="0.75">
      <c r="A133" t="str">
        <f>Client_Master!A133</f>
        <v>CL0132</v>
      </c>
      <c r="B133">
        <f>VLOOKUP(Client_Master!E133,$L$2:$M$7,2,FALSE)</f>
        <v>1</v>
      </c>
      <c r="C133">
        <f>VLOOKUP(Client_Master!C133,$L$10:$M$14,2,FALSE)</f>
        <v>2</v>
      </c>
    </row>
    <row r="134" spans="1:3" x14ac:dyDescent="0.75">
      <c r="A134" t="str">
        <f>Client_Master!A134</f>
        <v>CL0133</v>
      </c>
      <c r="B134">
        <f>VLOOKUP(Client_Master!E134,$L$2:$M$7,2,FALSE)</f>
        <v>0</v>
      </c>
      <c r="C134">
        <f>VLOOKUP(Client_Master!C134,$L$10:$M$14,2,FALSE)</f>
        <v>2</v>
      </c>
    </row>
    <row r="135" spans="1:3" x14ac:dyDescent="0.75">
      <c r="A135" t="str">
        <f>Client_Master!A135</f>
        <v>CL0134</v>
      </c>
      <c r="B135">
        <f>VLOOKUP(Client_Master!E135,$L$2:$M$7,2,FALSE)</f>
        <v>0</v>
      </c>
      <c r="C135">
        <f>VLOOKUP(Client_Master!C135,$L$10:$M$14,2,FALSE)</f>
        <v>0</v>
      </c>
    </row>
    <row r="136" spans="1:3" x14ac:dyDescent="0.75">
      <c r="A136" t="str">
        <f>Client_Master!A136</f>
        <v>CL0135</v>
      </c>
      <c r="B136">
        <f>VLOOKUP(Client_Master!E136,$L$2:$M$7,2,FALSE)</f>
        <v>0</v>
      </c>
      <c r="C136">
        <f>VLOOKUP(Client_Master!C136,$L$10:$M$14,2,FALSE)</f>
        <v>1</v>
      </c>
    </row>
    <row r="137" spans="1:3" x14ac:dyDescent="0.75">
      <c r="A137" t="str">
        <f>Client_Master!A137</f>
        <v>CL0136</v>
      </c>
      <c r="B137">
        <f>VLOOKUP(Client_Master!E137,$L$2:$M$7,2,FALSE)</f>
        <v>0</v>
      </c>
      <c r="C137">
        <f>VLOOKUP(Client_Master!C137,$L$10:$M$14,2,FALSE)</f>
        <v>1</v>
      </c>
    </row>
    <row r="138" spans="1:3" x14ac:dyDescent="0.75">
      <c r="A138" t="str">
        <f>Client_Master!A138</f>
        <v>CL0137</v>
      </c>
      <c r="B138">
        <f>VLOOKUP(Client_Master!E138,$L$2:$M$7,2,FALSE)</f>
        <v>0</v>
      </c>
      <c r="C138">
        <f>VLOOKUP(Client_Master!C138,$L$10:$M$14,2,FALSE)</f>
        <v>0</v>
      </c>
    </row>
    <row r="139" spans="1:3" x14ac:dyDescent="0.75">
      <c r="A139" t="str">
        <f>Client_Master!A139</f>
        <v>CL0138</v>
      </c>
      <c r="B139">
        <f>VLOOKUP(Client_Master!E139,$L$2:$M$7,2,FALSE)</f>
        <v>0</v>
      </c>
      <c r="C139">
        <f>VLOOKUP(Client_Master!C139,$L$10:$M$14,2,FALSE)</f>
        <v>0</v>
      </c>
    </row>
    <row r="140" spans="1:3" x14ac:dyDescent="0.75">
      <c r="A140" t="str">
        <f>Client_Master!A140</f>
        <v>CL0139</v>
      </c>
      <c r="B140">
        <f>VLOOKUP(Client_Master!E140,$L$2:$M$7,2,FALSE)</f>
        <v>3</v>
      </c>
      <c r="C140">
        <f>VLOOKUP(Client_Master!C140,$L$10:$M$14,2,FALSE)</f>
        <v>2</v>
      </c>
    </row>
    <row r="141" spans="1:3" x14ac:dyDescent="0.75">
      <c r="A141" t="str">
        <f>Client_Master!A141</f>
        <v>CL0140</v>
      </c>
      <c r="B141">
        <f>VLOOKUP(Client_Master!E141,$L$2:$M$7,2,FALSE)</f>
        <v>0</v>
      </c>
      <c r="C141">
        <f>VLOOKUP(Client_Master!C141,$L$10:$M$14,2,FALSE)</f>
        <v>1</v>
      </c>
    </row>
    <row r="142" spans="1:3" x14ac:dyDescent="0.75">
      <c r="A142" t="str">
        <f>Client_Master!A142</f>
        <v>CL0141</v>
      </c>
      <c r="B142">
        <f>VLOOKUP(Client_Master!E142,$L$2:$M$7,2,FALSE)</f>
        <v>1</v>
      </c>
      <c r="C142">
        <f>VLOOKUP(Client_Master!C142,$L$10:$M$14,2,FALSE)</f>
        <v>1</v>
      </c>
    </row>
    <row r="143" spans="1:3" x14ac:dyDescent="0.75">
      <c r="A143" t="str">
        <f>Client_Master!A143</f>
        <v>CL0142</v>
      </c>
      <c r="B143">
        <f>VLOOKUP(Client_Master!E143,$L$2:$M$7,2,FALSE)</f>
        <v>0</v>
      </c>
      <c r="C143">
        <f>VLOOKUP(Client_Master!C143,$L$10:$M$14,2,FALSE)</f>
        <v>2</v>
      </c>
    </row>
    <row r="144" spans="1:3" x14ac:dyDescent="0.75">
      <c r="A144" t="str">
        <f>Client_Master!A144</f>
        <v>CL0143</v>
      </c>
      <c r="B144">
        <f>VLOOKUP(Client_Master!E144,$L$2:$M$7,2,FALSE)</f>
        <v>0</v>
      </c>
      <c r="C144">
        <f>VLOOKUP(Client_Master!C144,$L$10:$M$14,2,FALSE)</f>
        <v>2</v>
      </c>
    </row>
    <row r="145" spans="1:3" x14ac:dyDescent="0.75">
      <c r="A145" t="str">
        <f>Client_Master!A145</f>
        <v>CL0144</v>
      </c>
      <c r="B145">
        <f>VLOOKUP(Client_Master!E145,$L$2:$M$7,2,FALSE)</f>
        <v>1</v>
      </c>
      <c r="C145">
        <f>VLOOKUP(Client_Master!C145,$L$10:$M$14,2,FALSE)</f>
        <v>1</v>
      </c>
    </row>
    <row r="146" spans="1:3" x14ac:dyDescent="0.75">
      <c r="A146" t="str">
        <f>Client_Master!A146</f>
        <v>CL0145</v>
      </c>
      <c r="B146">
        <f>VLOOKUP(Client_Master!E146,$L$2:$M$7,2,FALSE)</f>
        <v>1</v>
      </c>
      <c r="C146">
        <f>VLOOKUP(Client_Master!C146,$L$10:$M$14,2,FALSE)</f>
        <v>2</v>
      </c>
    </row>
    <row r="147" spans="1:3" x14ac:dyDescent="0.75">
      <c r="A147" t="str">
        <f>Client_Master!A147</f>
        <v>CL0146</v>
      </c>
      <c r="B147">
        <f>VLOOKUP(Client_Master!E147,$L$2:$M$7,2,FALSE)</f>
        <v>0</v>
      </c>
      <c r="C147">
        <f>VLOOKUP(Client_Master!C147,$L$10:$M$14,2,FALSE)</f>
        <v>2</v>
      </c>
    </row>
    <row r="148" spans="1:3" x14ac:dyDescent="0.75">
      <c r="A148" t="str">
        <f>Client_Master!A148</f>
        <v>CL0147</v>
      </c>
      <c r="B148">
        <f>VLOOKUP(Client_Master!E148,$L$2:$M$7,2,FALSE)</f>
        <v>1</v>
      </c>
      <c r="C148">
        <f>VLOOKUP(Client_Master!C148,$L$10:$M$14,2,FALSE)</f>
        <v>1</v>
      </c>
    </row>
    <row r="149" spans="1:3" x14ac:dyDescent="0.75">
      <c r="A149" t="str">
        <f>Client_Master!A149</f>
        <v>CL0148</v>
      </c>
      <c r="B149">
        <f>VLOOKUP(Client_Master!E149,$L$2:$M$7,2,FALSE)</f>
        <v>0</v>
      </c>
      <c r="C149">
        <f>VLOOKUP(Client_Master!C149,$L$10:$M$14,2,FALSE)</f>
        <v>2</v>
      </c>
    </row>
    <row r="150" spans="1:3" x14ac:dyDescent="0.75">
      <c r="A150" t="str">
        <f>Client_Master!A150</f>
        <v>CL0149</v>
      </c>
      <c r="B150">
        <f>VLOOKUP(Client_Master!E150,$L$2:$M$7,2,FALSE)</f>
        <v>0</v>
      </c>
      <c r="C150">
        <f>VLOOKUP(Client_Master!C150,$L$10:$M$14,2,FALSE)</f>
        <v>1</v>
      </c>
    </row>
    <row r="151" spans="1:3" x14ac:dyDescent="0.75">
      <c r="A151" t="str">
        <f>Client_Master!A151</f>
        <v>CL0150</v>
      </c>
      <c r="B151">
        <f>VLOOKUP(Client_Master!E151,$L$2:$M$7,2,FALSE)</f>
        <v>0</v>
      </c>
      <c r="C151">
        <f>VLOOKUP(Client_Master!C151,$L$10:$M$14,2,FALSE)</f>
        <v>2</v>
      </c>
    </row>
    <row r="152" spans="1:3" x14ac:dyDescent="0.75">
      <c r="A152" t="str">
        <f>Client_Master!A152</f>
        <v>CL0151</v>
      </c>
      <c r="B152">
        <f>VLOOKUP(Client_Master!E152,$L$2:$M$7,2,FALSE)</f>
        <v>0</v>
      </c>
      <c r="C152">
        <f>VLOOKUP(Client_Master!C152,$L$10:$M$14,2,FALSE)</f>
        <v>2</v>
      </c>
    </row>
    <row r="153" spans="1:3" x14ac:dyDescent="0.75">
      <c r="A153" t="str">
        <f>Client_Master!A153</f>
        <v>CL0152</v>
      </c>
      <c r="B153">
        <f>VLOOKUP(Client_Master!E153,$L$2:$M$7,2,FALSE)</f>
        <v>0</v>
      </c>
      <c r="C153">
        <f>VLOOKUP(Client_Master!C153,$L$10:$M$14,2,FALSE)</f>
        <v>2</v>
      </c>
    </row>
    <row r="154" spans="1:3" x14ac:dyDescent="0.75">
      <c r="A154" t="str">
        <f>Client_Master!A154</f>
        <v>CL0153</v>
      </c>
      <c r="B154">
        <f>VLOOKUP(Client_Master!E154,$L$2:$M$7,2,FALSE)</f>
        <v>3</v>
      </c>
      <c r="C154">
        <f>VLOOKUP(Client_Master!C154,$L$10:$M$14,2,FALSE)</f>
        <v>2</v>
      </c>
    </row>
    <row r="155" spans="1:3" x14ac:dyDescent="0.75">
      <c r="A155" t="str">
        <f>Client_Master!A155</f>
        <v>CL0154</v>
      </c>
      <c r="B155">
        <f>VLOOKUP(Client_Master!E155,$L$2:$M$7,2,FALSE)</f>
        <v>3</v>
      </c>
      <c r="C155">
        <f>VLOOKUP(Client_Master!C155,$L$10:$M$14,2,FALSE)</f>
        <v>2</v>
      </c>
    </row>
    <row r="156" spans="1:3" x14ac:dyDescent="0.75">
      <c r="A156" t="str">
        <f>Client_Master!A156</f>
        <v>CL0155</v>
      </c>
      <c r="B156">
        <f>VLOOKUP(Client_Master!E156,$L$2:$M$7,2,FALSE)</f>
        <v>0</v>
      </c>
      <c r="C156">
        <f>VLOOKUP(Client_Master!C156,$L$10:$M$14,2,FALSE)</f>
        <v>2</v>
      </c>
    </row>
    <row r="157" spans="1:3" x14ac:dyDescent="0.75">
      <c r="A157" t="str">
        <f>Client_Master!A157</f>
        <v>CL0156</v>
      </c>
      <c r="B157">
        <f>VLOOKUP(Client_Master!E157,$L$2:$M$7,2,FALSE)</f>
        <v>0</v>
      </c>
      <c r="C157">
        <f>VLOOKUP(Client_Master!C157,$L$10:$M$14,2,FALSE)</f>
        <v>0</v>
      </c>
    </row>
    <row r="158" spans="1:3" x14ac:dyDescent="0.75">
      <c r="A158" t="str">
        <f>Client_Master!A158</f>
        <v>CL0157</v>
      </c>
      <c r="B158">
        <f>VLOOKUP(Client_Master!E158,$L$2:$M$7,2,FALSE)</f>
        <v>1</v>
      </c>
      <c r="C158">
        <f>VLOOKUP(Client_Master!C158,$L$10:$M$14,2,FALSE)</f>
        <v>2</v>
      </c>
    </row>
    <row r="159" spans="1:3" x14ac:dyDescent="0.75">
      <c r="A159" t="str">
        <f>Client_Master!A159</f>
        <v>CL0158</v>
      </c>
      <c r="B159">
        <f>VLOOKUP(Client_Master!E159,$L$2:$M$7,2,FALSE)</f>
        <v>1</v>
      </c>
      <c r="C159">
        <f>VLOOKUP(Client_Master!C159,$L$10:$M$14,2,FALSE)</f>
        <v>0</v>
      </c>
    </row>
    <row r="160" spans="1:3" x14ac:dyDescent="0.75">
      <c r="A160" t="str">
        <f>Client_Master!A160</f>
        <v>CL0159</v>
      </c>
      <c r="B160">
        <f>VLOOKUP(Client_Master!E160,$L$2:$M$7,2,FALSE)</f>
        <v>0</v>
      </c>
      <c r="C160">
        <f>VLOOKUP(Client_Master!C160,$L$10:$M$14,2,FALSE)</f>
        <v>1</v>
      </c>
    </row>
    <row r="161" spans="1:3" x14ac:dyDescent="0.75">
      <c r="A161" t="str">
        <f>Client_Master!A161</f>
        <v>CL0160</v>
      </c>
      <c r="B161">
        <f>VLOOKUP(Client_Master!E161,$L$2:$M$7,2,FALSE)</f>
        <v>3</v>
      </c>
      <c r="C161">
        <f>VLOOKUP(Client_Master!C161,$L$10:$M$14,2,FALSE)</f>
        <v>2</v>
      </c>
    </row>
    <row r="162" spans="1:3" x14ac:dyDescent="0.75">
      <c r="A162" t="str">
        <f>Client_Master!A162</f>
        <v>CL0161</v>
      </c>
      <c r="B162">
        <f>VLOOKUP(Client_Master!E162,$L$2:$M$7,2,FALSE)</f>
        <v>0</v>
      </c>
      <c r="C162">
        <f>VLOOKUP(Client_Master!C162,$L$10:$M$14,2,FALSE)</f>
        <v>2</v>
      </c>
    </row>
    <row r="163" spans="1:3" x14ac:dyDescent="0.75">
      <c r="A163" t="str">
        <f>Client_Master!A163</f>
        <v>CL0162</v>
      </c>
      <c r="B163">
        <f>VLOOKUP(Client_Master!E163,$L$2:$M$7,2,FALSE)</f>
        <v>0</v>
      </c>
      <c r="C163">
        <f>VLOOKUP(Client_Master!C163,$L$10:$M$14,2,FALSE)</f>
        <v>0</v>
      </c>
    </row>
    <row r="164" spans="1:3" x14ac:dyDescent="0.75">
      <c r="A164" t="str">
        <f>Client_Master!A164</f>
        <v>CL0163</v>
      </c>
      <c r="B164">
        <f>VLOOKUP(Client_Master!E164,$L$2:$M$7,2,FALSE)</f>
        <v>0</v>
      </c>
      <c r="C164">
        <f>VLOOKUP(Client_Master!C164,$L$10:$M$14,2,FALSE)</f>
        <v>2</v>
      </c>
    </row>
    <row r="165" spans="1:3" x14ac:dyDescent="0.75">
      <c r="A165" t="str">
        <f>Client_Master!A165</f>
        <v>CL0164</v>
      </c>
      <c r="B165">
        <f>VLOOKUP(Client_Master!E165,$L$2:$M$7,2,FALSE)</f>
        <v>0</v>
      </c>
      <c r="C165">
        <f>VLOOKUP(Client_Master!C165,$L$10:$M$14,2,FALSE)</f>
        <v>2</v>
      </c>
    </row>
    <row r="166" spans="1:3" x14ac:dyDescent="0.75">
      <c r="A166" t="str">
        <f>Client_Master!A166</f>
        <v>CL0165</v>
      </c>
      <c r="B166">
        <f>VLOOKUP(Client_Master!E166,$L$2:$M$7,2,FALSE)</f>
        <v>0</v>
      </c>
      <c r="C166">
        <f>VLOOKUP(Client_Master!C166,$L$10:$M$14,2,FALSE)</f>
        <v>2</v>
      </c>
    </row>
    <row r="167" spans="1:3" x14ac:dyDescent="0.75">
      <c r="A167" t="str">
        <f>Client_Master!A167</f>
        <v>CL0166</v>
      </c>
      <c r="B167">
        <f>VLOOKUP(Client_Master!E167,$L$2:$M$7,2,FALSE)</f>
        <v>0</v>
      </c>
      <c r="C167">
        <f>VLOOKUP(Client_Master!C167,$L$10:$M$14,2,FALSE)</f>
        <v>1</v>
      </c>
    </row>
    <row r="168" spans="1:3" x14ac:dyDescent="0.75">
      <c r="A168" t="str">
        <f>Client_Master!A168</f>
        <v>CL0167</v>
      </c>
      <c r="B168">
        <f>VLOOKUP(Client_Master!E168,$L$2:$M$7,2,FALSE)</f>
        <v>0</v>
      </c>
      <c r="C168">
        <f>VLOOKUP(Client_Master!C168,$L$10:$M$14,2,FALSE)</f>
        <v>1</v>
      </c>
    </row>
    <row r="169" spans="1:3" x14ac:dyDescent="0.75">
      <c r="A169" t="str">
        <f>Client_Master!A169</f>
        <v>CL0168</v>
      </c>
      <c r="B169">
        <f>VLOOKUP(Client_Master!E169,$L$2:$M$7,2,FALSE)</f>
        <v>0</v>
      </c>
      <c r="C169">
        <f>VLOOKUP(Client_Master!C169,$L$10:$M$14,2,FALSE)</f>
        <v>2</v>
      </c>
    </row>
    <row r="170" spans="1:3" x14ac:dyDescent="0.75">
      <c r="A170" t="str">
        <f>Client_Master!A170</f>
        <v>CL0169</v>
      </c>
      <c r="B170">
        <f>VLOOKUP(Client_Master!E170,$L$2:$M$7,2,FALSE)</f>
        <v>0</v>
      </c>
      <c r="C170">
        <f>VLOOKUP(Client_Master!C170,$L$10:$M$14,2,FALSE)</f>
        <v>2</v>
      </c>
    </row>
    <row r="171" spans="1:3" x14ac:dyDescent="0.75">
      <c r="A171" t="str">
        <f>Client_Master!A171</f>
        <v>CL0170</v>
      </c>
      <c r="B171">
        <f>VLOOKUP(Client_Master!E171,$L$2:$M$7,2,FALSE)</f>
        <v>0</v>
      </c>
      <c r="C171">
        <f>VLOOKUP(Client_Master!C171,$L$10:$M$14,2,FALSE)</f>
        <v>2</v>
      </c>
    </row>
    <row r="172" spans="1:3" x14ac:dyDescent="0.75">
      <c r="A172" t="str">
        <f>Client_Master!A172</f>
        <v>CL0171</v>
      </c>
      <c r="B172">
        <f>VLOOKUP(Client_Master!E172,$L$2:$M$7,2,FALSE)</f>
        <v>1</v>
      </c>
      <c r="C172">
        <f>VLOOKUP(Client_Master!C172,$L$10:$M$14,2,FALSE)</f>
        <v>0</v>
      </c>
    </row>
    <row r="173" spans="1:3" x14ac:dyDescent="0.75">
      <c r="A173" t="str">
        <f>Client_Master!A173</f>
        <v>CL0172</v>
      </c>
      <c r="B173">
        <f>VLOOKUP(Client_Master!E173,$L$2:$M$7,2,FALSE)</f>
        <v>0</v>
      </c>
      <c r="C173">
        <f>VLOOKUP(Client_Master!C173,$L$10:$M$14,2,FALSE)</f>
        <v>1</v>
      </c>
    </row>
    <row r="174" spans="1:3" x14ac:dyDescent="0.75">
      <c r="A174" t="str">
        <f>Client_Master!A174</f>
        <v>CL0173</v>
      </c>
      <c r="B174">
        <f>VLOOKUP(Client_Master!E174,$L$2:$M$7,2,FALSE)</f>
        <v>0</v>
      </c>
      <c r="C174">
        <f>VLOOKUP(Client_Master!C174,$L$10:$M$14,2,FALSE)</f>
        <v>1</v>
      </c>
    </row>
    <row r="175" spans="1:3" x14ac:dyDescent="0.75">
      <c r="A175" t="str">
        <f>Client_Master!A175</f>
        <v>CL0174</v>
      </c>
      <c r="B175">
        <f>VLOOKUP(Client_Master!E175,$L$2:$M$7,2,FALSE)</f>
        <v>0</v>
      </c>
      <c r="C175">
        <f>VLOOKUP(Client_Master!C175,$L$10:$M$14,2,FALSE)</f>
        <v>2</v>
      </c>
    </row>
    <row r="176" spans="1:3" x14ac:dyDescent="0.75">
      <c r="A176" t="str">
        <f>Client_Master!A176</f>
        <v>CL0175</v>
      </c>
      <c r="B176">
        <f>VLOOKUP(Client_Master!E176,$L$2:$M$7,2,FALSE)</f>
        <v>0</v>
      </c>
      <c r="C176">
        <f>VLOOKUP(Client_Master!C176,$L$10:$M$14,2,FALSE)</f>
        <v>2</v>
      </c>
    </row>
    <row r="177" spans="1:3" x14ac:dyDescent="0.75">
      <c r="A177" t="str">
        <f>Client_Master!A177</f>
        <v>CL0176</v>
      </c>
      <c r="B177">
        <f>VLOOKUP(Client_Master!E177,$L$2:$M$7,2,FALSE)</f>
        <v>0</v>
      </c>
      <c r="C177">
        <f>VLOOKUP(Client_Master!C177,$L$10:$M$14,2,FALSE)</f>
        <v>0</v>
      </c>
    </row>
    <row r="178" spans="1:3" x14ac:dyDescent="0.75">
      <c r="A178" t="str">
        <f>Client_Master!A178</f>
        <v>CL0177</v>
      </c>
      <c r="B178">
        <f>VLOOKUP(Client_Master!E178,$L$2:$M$7,2,FALSE)</f>
        <v>0</v>
      </c>
      <c r="C178">
        <f>VLOOKUP(Client_Master!C178,$L$10:$M$14,2,FALSE)</f>
        <v>2</v>
      </c>
    </row>
    <row r="179" spans="1:3" x14ac:dyDescent="0.75">
      <c r="A179" t="str">
        <f>Client_Master!A179</f>
        <v>CL0178</v>
      </c>
      <c r="B179">
        <f>VLOOKUP(Client_Master!E179,$L$2:$M$7,2,FALSE)</f>
        <v>0</v>
      </c>
      <c r="C179">
        <f>VLOOKUP(Client_Master!C179,$L$10:$M$14,2,FALSE)</f>
        <v>1</v>
      </c>
    </row>
    <row r="180" spans="1:3" x14ac:dyDescent="0.75">
      <c r="A180" t="str">
        <f>Client_Master!A180</f>
        <v>CL0179</v>
      </c>
      <c r="B180">
        <f>VLOOKUP(Client_Master!E180,$L$2:$M$7,2,FALSE)</f>
        <v>0</v>
      </c>
      <c r="C180">
        <f>VLOOKUP(Client_Master!C180,$L$10:$M$14,2,FALSE)</f>
        <v>2</v>
      </c>
    </row>
    <row r="181" spans="1:3" x14ac:dyDescent="0.75">
      <c r="A181" t="str">
        <f>Client_Master!A181</f>
        <v>CL0180</v>
      </c>
      <c r="B181">
        <f>VLOOKUP(Client_Master!E181,$L$2:$M$7,2,FALSE)</f>
        <v>1</v>
      </c>
      <c r="C181">
        <f>VLOOKUP(Client_Master!C181,$L$10:$M$14,2,FALSE)</f>
        <v>1</v>
      </c>
    </row>
    <row r="182" spans="1:3" x14ac:dyDescent="0.75">
      <c r="A182" t="str">
        <f>Client_Master!A182</f>
        <v>CL0181</v>
      </c>
      <c r="B182">
        <f>VLOOKUP(Client_Master!E182,$L$2:$M$7,2,FALSE)</f>
        <v>0</v>
      </c>
      <c r="C182">
        <f>VLOOKUP(Client_Master!C182,$L$10:$M$14,2,FALSE)</f>
        <v>1</v>
      </c>
    </row>
    <row r="183" spans="1:3" x14ac:dyDescent="0.75">
      <c r="A183" t="str">
        <f>Client_Master!A183</f>
        <v>CL0182</v>
      </c>
      <c r="B183">
        <f>VLOOKUP(Client_Master!E183,$L$2:$M$7,2,FALSE)</f>
        <v>0</v>
      </c>
      <c r="C183">
        <f>VLOOKUP(Client_Master!C183,$L$10:$M$14,2,FALSE)</f>
        <v>0</v>
      </c>
    </row>
    <row r="184" spans="1:3" x14ac:dyDescent="0.75">
      <c r="A184" t="str">
        <f>Client_Master!A184</f>
        <v>CL0183</v>
      </c>
      <c r="B184">
        <f>VLOOKUP(Client_Master!E184,$L$2:$M$7,2,FALSE)</f>
        <v>0</v>
      </c>
      <c r="C184">
        <f>VLOOKUP(Client_Master!C184,$L$10:$M$14,2,FALSE)</f>
        <v>0</v>
      </c>
    </row>
    <row r="185" spans="1:3" x14ac:dyDescent="0.75">
      <c r="A185" t="str">
        <f>Client_Master!A185</f>
        <v>CL0184</v>
      </c>
      <c r="B185">
        <f>VLOOKUP(Client_Master!E185,$L$2:$M$7,2,FALSE)</f>
        <v>0</v>
      </c>
      <c r="C185">
        <f>VLOOKUP(Client_Master!C185,$L$10:$M$14,2,FALSE)</f>
        <v>2</v>
      </c>
    </row>
    <row r="186" spans="1:3" x14ac:dyDescent="0.75">
      <c r="A186" t="str">
        <f>Client_Master!A186</f>
        <v>CL0185</v>
      </c>
      <c r="B186">
        <f>VLOOKUP(Client_Master!E186,$L$2:$M$7,2,FALSE)</f>
        <v>0</v>
      </c>
      <c r="C186">
        <f>VLOOKUP(Client_Master!C186,$L$10:$M$14,2,FALSE)</f>
        <v>0</v>
      </c>
    </row>
    <row r="187" spans="1:3" x14ac:dyDescent="0.75">
      <c r="A187" t="str">
        <f>Client_Master!A187</f>
        <v>CL0186</v>
      </c>
      <c r="B187">
        <f>VLOOKUP(Client_Master!E187,$L$2:$M$7,2,FALSE)</f>
        <v>0</v>
      </c>
      <c r="C187">
        <f>VLOOKUP(Client_Master!C187,$L$10:$M$14,2,FALSE)</f>
        <v>0</v>
      </c>
    </row>
    <row r="188" spans="1:3" x14ac:dyDescent="0.75">
      <c r="A188" t="str">
        <f>Client_Master!A188</f>
        <v>CL0187</v>
      </c>
      <c r="B188">
        <f>VLOOKUP(Client_Master!E188,$L$2:$M$7,2,FALSE)</f>
        <v>0</v>
      </c>
      <c r="C188">
        <f>VLOOKUP(Client_Master!C188,$L$10:$M$14,2,FALSE)</f>
        <v>0</v>
      </c>
    </row>
    <row r="189" spans="1:3" x14ac:dyDescent="0.75">
      <c r="A189" t="str">
        <f>Client_Master!A189</f>
        <v>CL0188</v>
      </c>
      <c r="B189">
        <f>VLOOKUP(Client_Master!E189,$L$2:$M$7,2,FALSE)</f>
        <v>1</v>
      </c>
      <c r="C189">
        <f>VLOOKUP(Client_Master!C189,$L$10:$M$14,2,FALSE)</f>
        <v>0</v>
      </c>
    </row>
    <row r="190" spans="1:3" x14ac:dyDescent="0.75">
      <c r="A190" t="str">
        <f>Client_Master!A190</f>
        <v>CL0189</v>
      </c>
      <c r="B190">
        <f>VLOOKUP(Client_Master!E190,$L$2:$M$7,2,FALSE)</f>
        <v>0</v>
      </c>
      <c r="C190">
        <f>VLOOKUP(Client_Master!C190,$L$10:$M$14,2,FALSE)</f>
        <v>0</v>
      </c>
    </row>
    <row r="191" spans="1:3" x14ac:dyDescent="0.75">
      <c r="A191" t="str">
        <f>Client_Master!A191</f>
        <v>CL0190</v>
      </c>
      <c r="B191">
        <f>VLOOKUP(Client_Master!E191,$L$2:$M$7,2,FALSE)</f>
        <v>0</v>
      </c>
      <c r="C191">
        <f>VLOOKUP(Client_Master!C191,$L$10:$M$14,2,FALSE)</f>
        <v>0</v>
      </c>
    </row>
    <row r="192" spans="1:3" x14ac:dyDescent="0.75">
      <c r="A192" t="str">
        <f>Client_Master!A192</f>
        <v>CL0191</v>
      </c>
      <c r="B192">
        <f>VLOOKUP(Client_Master!E192,$L$2:$M$7,2,FALSE)</f>
        <v>0</v>
      </c>
      <c r="C192">
        <f>VLOOKUP(Client_Master!C192,$L$10:$M$14,2,FALSE)</f>
        <v>1</v>
      </c>
    </row>
    <row r="193" spans="1:3" x14ac:dyDescent="0.75">
      <c r="A193" t="str">
        <f>Client_Master!A193</f>
        <v>CL0192</v>
      </c>
      <c r="B193">
        <f>VLOOKUP(Client_Master!E193,$L$2:$M$7,2,FALSE)</f>
        <v>0</v>
      </c>
      <c r="C193">
        <f>VLOOKUP(Client_Master!C193,$L$10:$M$14,2,FALSE)</f>
        <v>1</v>
      </c>
    </row>
    <row r="194" spans="1:3" x14ac:dyDescent="0.75">
      <c r="A194" t="str">
        <f>Client_Master!A194</f>
        <v>CL0193</v>
      </c>
      <c r="B194">
        <f>VLOOKUP(Client_Master!E194,$L$2:$M$7,2,FALSE)</f>
        <v>0</v>
      </c>
      <c r="C194">
        <f>VLOOKUP(Client_Master!C194,$L$10:$M$14,2,FALSE)</f>
        <v>2</v>
      </c>
    </row>
    <row r="195" spans="1:3" x14ac:dyDescent="0.75">
      <c r="A195" t="str">
        <f>Client_Master!A195</f>
        <v>CL0194</v>
      </c>
      <c r="B195">
        <f>VLOOKUP(Client_Master!E195,$L$2:$M$7,2,FALSE)</f>
        <v>1</v>
      </c>
      <c r="C195">
        <f>VLOOKUP(Client_Master!C195,$L$10:$M$14,2,FALSE)</f>
        <v>1</v>
      </c>
    </row>
    <row r="196" spans="1:3" x14ac:dyDescent="0.75">
      <c r="A196" t="str">
        <f>Client_Master!A196</f>
        <v>CL0195</v>
      </c>
      <c r="B196">
        <f>VLOOKUP(Client_Master!E196,$L$2:$M$7,2,FALSE)</f>
        <v>0</v>
      </c>
      <c r="C196">
        <f>VLOOKUP(Client_Master!C196,$L$10:$M$14,2,FALSE)</f>
        <v>2</v>
      </c>
    </row>
    <row r="197" spans="1:3" x14ac:dyDescent="0.75">
      <c r="A197" t="str">
        <f>Client_Master!A197</f>
        <v>CL0196</v>
      </c>
      <c r="B197">
        <f>VLOOKUP(Client_Master!E197,$L$2:$M$7,2,FALSE)</f>
        <v>0</v>
      </c>
      <c r="C197">
        <f>VLOOKUP(Client_Master!C197,$L$10:$M$14,2,FALSE)</f>
        <v>1</v>
      </c>
    </row>
    <row r="198" spans="1:3" x14ac:dyDescent="0.75">
      <c r="A198" t="str">
        <f>Client_Master!A198</f>
        <v>CL0197</v>
      </c>
      <c r="B198">
        <f>VLOOKUP(Client_Master!E198,$L$2:$M$7,2,FALSE)</f>
        <v>0</v>
      </c>
      <c r="C198">
        <f>VLOOKUP(Client_Master!C198,$L$10:$M$14,2,FALSE)</f>
        <v>1</v>
      </c>
    </row>
    <row r="199" spans="1:3" x14ac:dyDescent="0.75">
      <c r="A199" t="str">
        <f>Client_Master!A199</f>
        <v>CL0198</v>
      </c>
      <c r="B199">
        <f>VLOOKUP(Client_Master!E199,$L$2:$M$7,2,FALSE)</f>
        <v>0</v>
      </c>
      <c r="C199">
        <f>VLOOKUP(Client_Master!C199,$L$10:$M$14,2,FALSE)</f>
        <v>2</v>
      </c>
    </row>
    <row r="200" spans="1:3" x14ac:dyDescent="0.75">
      <c r="A200" t="str">
        <f>Client_Master!A200</f>
        <v>CL0199</v>
      </c>
      <c r="B200">
        <f>VLOOKUP(Client_Master!E200,$L$2:$M$7,2,FALSE)</f>
        <v>0</v>
      </c>
      <c r="C200">
        <f>VLOOKUP(Client_Master!C200,$L$10:$M$14,2,FALSE)</f>
        <v>0</v>
      </c>
    </row>
    <row r="201" spans="1:3" x14ac:dyDescent="0.75">
      <c r="A201" t="str">
        <f>Client_Master!A201</f>
        <v>CL0200</v>
      </c>
      <c r="B201">
        <f>VLOOKUP(Client_Master!E201,$L$2:$M$7,2,FALSE)</f>
        <v>0</v>
      </c>
      <c r="C201">
        <f>VLOOKUP(Client_Master!C201,$L$10:$M$14,2,FALSE)</f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>
    <row r="1" spans="1:1" x14ac:dyDescent="0.75">
      <c r="A1" s="4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75" x14ac:dyDescent="0.75"/>
  <sheetData>
    <row r="1" spans="1:1" x14ac:dyDescent="0.75">
      <c r="A1" s="4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75" x14ac:dyDescent="0.75"/>
  <sheetData>
    <row r="1" spans="1:1" x14ac:dyDescent="0.75">
      <c r="A1" s="4" t="s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75" x14ac:dyDescent="0.75"/>
  <sheetData>
    <row r="1" spans="1:1" x14ac:dyDescent="0.75">
      <c r="A1" s="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Client_Master</vt:lpstr>
      <vt:lpstr>Change_Log</vt:lpstr>
      <vt:lpstr>Risk_Scoring</vt:lpstr>
      <vt:lpstr>Refresh_Queue</vt:lpstr>
      <vt:lpstr>Document_Tracker</vt:lpstr>
      <vt:lpstr>Escalation_Log</vt:lpstr>
      <vt:lpstr>QC_Review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Huynh Nam Tran</cp:lastModifiedBy>
  <dcterms:created xsi:type="dcterms:W3CDTF">2026-10-19T04:07:20Z</dcterms:created>
  <dcterms:modified xsi:type="dcterms:W3CDTF">2026-10-19T07:43:03Z</dcterms:modified>
</cp:coreProperties>
</file>